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Historicals" sheetId="3" state="visible" r:id="rId3"/>
    <sheet xmlns:r="http://schemas.openxmlformats.org/officeDocument/2006/relationships" name="Unit Economics" sheetId="4" state="visible" r:id="rId4"/>
    <sheet xmlns:r="http://schemas.openxmlformats.org/officeDocument/2006/relationships" name="Forecast" sheetId="5" state="visible" r:id="rId5"/>
    <sheet xmlns:r="http://schemas.openxmlformats.org/officeDocument/2006/relationships" name="WACC" sheetId="6" state="visible" r:id="rId6"/>
    <sheet xmlns:r="http://schemas.openxmlformats.org/officeDocument/2006/relationships" name="DCF-FCFF" sheetId="7" state="visible" r:id="rId7"/>
    <sheet xmlns:r="http://schemas.openxmlformats.org/officeDocument/2006/relationships" name="DCF-FCFE" sheetId="8" state="visible" r:id="rId8"/>
    <sheet xmlns:r="http://schemas.openxmlformats.org/officeDocument/2006/relationships" name="Justified Multiples" sheetId="9" state="visible" r:id="rId9"/>
    <sheet xmlns:r="http://schemas.openxmlformats.org/officeDocument/2006/relationships" name="Comps" sheetId="10" state="visible" r:id="rId10"/>
    <sheet xmlns:r="http://schemas.openxmlformats.org/officeDocument/2006/relationships" name="Scenarios" sheetId="11" state="visible" r:id="rId11"/>
    <sheet xmlns:r="http://schemas.openxmlformats.org/officeDocument/2006/relationships" name="Sensitivity" sheetId="12" state="visible" r:id="rId12"/>
    <sheet xmlns:r="http://schemas.openxmlformats.org/officeDocument/2006/relationships" name="Output" sheetId="13" state="visible" r:id="rId13"/>
  </sheets>
  <definedNames/>
  <calcPr calcId="124519" fullCalcOnLoad="1"/>
</workbook>
</file>

<file path=xl/styles.xml><?xml version="1.0" encoding="utf-8"?>
<styleSheet xmlns="http://schemas.openxmlformats.org/spreadsheetml/2006/main">
  <numFmts count="6">
    <numFmt numFmtId="164" formatCode="0.00%;(0.00%);&quot;-&quot;"/>
    <numFmt numFmtId="165" formatCode="#,##0.0;(#,##0.0);&quot;-&quot;"/>
    <numFmt numFmtId="166" formatCode="0.0%;(0.0%);&quot;-&quot;"/>
    <numFmt numFmtId="167" formatCode="0.0000"/>
    <numFmt numFmtId="168" formatCode="#,##0;(#,##0);&quot;-&quot;"/>
    <numFmt numFmtId="169" formatCode="0.00&quot;x&quot;"/>
  </numFmts>
  <fonts count="14">
    <font>
      <name val="Calibri"/>
      <family val="2"/>
      <color theme="1"/>
      <sz val="11"/>
      <scheme val="minor"/>
    </font>
    <font>
      <name val="Arial"/>
      <b val="1"/>
      <color rgb="00175676"/>
      <sz val="15"/>
    </font>
    <font>
      <name val="Arial"/>
      <b val="1"/>
      <color rgb="00175676"/>
      <sz val="10"/>
    </font>
    <font>
      <name val="Arial"/>
      <color rgb="00475461"/>
      <sz val="10"/>
    </font>
    <font>
      <name val="Arial"/>
      <i val="1"/>
      <color rgb="007F7F7F"/>
      <sz val="8"/>
    </font>
    <font>
      <name val="Arial"/>
      <b val="1"/>
      <color rgb="00FFFFFF"/>
      <sz val="11"/>
    </font>
    <font>
      <name val="Arial"/>
      <color rgb="000000FF"/>
      <sz val="10"/>
    </font>
    <font>
      <name val="Arial"/>
      <b val="1"/>
      <color rgb="000000FF"/>
      <sz val="10"/>
    </font>
    <font>
      <name val="Arial"/>
      <b val="1"/>
      <color rgb="00475461"/>
      <sz val="10"/>
    </font>
    <font>
      <name val="Arial"/>
      <b val="1"/>
      <color rgb="002B2B2B"/>
      <sz val="10"/>
    </font>
    <font>
      <name val="Arial"/>
      <color rgb="002B2B2B"/>
      <sz val="10"/>
    </font>
    <font>
      <name val="Arial"/>
      <color rgb="00008000"/>
      <sz val="10"/>
    </font>
    <font>
      <name val="Arial"/>
      <b val="1"/>
      <color rgb="00175676"/>
      <sz val="14"/>
    </font>
    <font>
      <name val="Arial"/>
      <b val="1"/>
      <color rgb="00E04556"/>
      <sz val="14"/>
    </font>
  </fonts>
  <fills count="7">
    <fill>
      <patternFill/>
    </fill>
    <fill>
      <patternFill patternType="gray125"/>
    </fill>
    <fill>
      <patternFill patternType="solid">
        <fgColor rgb="00CEE5F3"/>
      </patternFill>
    </fill>
    <fill>
      <patternFill patternType="solid">
        <fgColor rgb="00175676"/>
      </patternFill>
    </fill>
    <fill>
      <patternFill patternType="solid">
        <fgColor rgb="00FFFFCC"/>
      </patternFill>
    </fill>
    <fill>
      <patternFill patternType="solid">
        <fgColor rgb="00F2F2F2"/>
      </patternFill>
    </fill>
    <fill>
      <patternFill patternType="solid">
        <fgColor rgb="00FBE3E6"/>
      </patternFill>
    </fill>
  </fills>
  <borders count="3">
    <border>
      <left/>
      <right/>
      <top/>
      <bottom/>
      <diagonal/>
    </border>
    <border>
      <bottom style="thin">
        <color rgb="00175676"/>
      </bottom>
    </border>
    <border>
      <left style="thin">
        <color rgb="00D2D2D2"/>
      </left>
      <right style="thin">
        <color rgb="00D2D2D2"/>
      </right>
      <top style="thin">
        <color rgb="00D2D2D2"/>
      </top>
      <bottom style="thin">
        <color rgb="00D2D2D2"/>
      </bottom>
    </border>
  </borders>
  <cellStyleXfs count="1">
    <xf numFmtId="0" fontId="0" fillId="0" borderId="0"/>
  </cellStyleXfs>
  <cellXfs count="59">
    <xf numFmtId="0" fontId="0" fillId="0" borderId="0" pivotButton="0" quotePrefix="0" xfId="0"/>
    <xf numFmtId="0" fontId="1" fillId="0" borderId="0" pivotButton="0" quotePrefix="0" xfId="0"/>
    <xf numFmtId="0" fontId="2" fillId="2" borderId="0" pivotButton="0" quotePrefix="0" xfId="0"/>
    <xf numFmtId="0" fontId="3" fillId="0" borderId="0" applyAlignment="1" pivotButton="0" quotePrefix="0" xfId="0">
      <alignment vertical="top" wrapText="1"/>
    </xf>
    <xf numFmtId="0" fontId="4" fillId="0" borderId="0" pivotButton="0" quotePrefix="0" xfId="0"/>
    <xf numFmtId="0" fontId="2" fillId="0" borderId="1" pivotButton="0" quotePrefix="0" xfId="0"/>
    <xf numFmtId="0" fontId="5" fillId="3" borderId="0" pivotButton="0" quotePrefix="0" xfId="0"/>
    <xf numFmtId="0" fontId="0" fillId="3" borderId="0" pivotButton="0" quotePrefix="0" xfId="0"/>
    <xf numFmtId="0" fontId="3" fillId="0" borderId="0" pivotButton="0" quotePrefix="0" xfId="0"/>
    <xf numFmtId="164" fontId="6" fillId="0" borderId="2" pivotButton="0" quotePrefix="0" xfId="0"/>
    <xf numFmtId="2" fontId="7" fillId="4" borderId="2" pivotButton="0" quotePrefix="0" xfId="0"/>
    <xf numFmtId="0" fontId="8" fillId="0" borderId="0" pivotButton="0" quotePrefix="0" xfId="0"/>
    <xf numFmtId="164" fontId="9" fillId="5" borderId="2" pivotButton="0" quotePrefix="0" xfId="0"/>
    <xf numFmtId="164" fontId="10" fillId="0" borderId="2" pivotButton="0" quotePrefix="0" xfId="0"/>
    <xf numFmtId="164" fontId="7" fillId="4" borderId="2" pivotButton="0" quotePrefix="0" xfId="0"/>
    <xf numFmtId="0" fontId="9" fillId="0" borderId="2" pivotButton="0" quotePrefix="0" xfId="0"/>
    <xf numFmtId="1" fontId="7" fillId="4" borderId="2" pivotButton="0" quotePrefix="0" xfId="0"/>
    <xf numFmtId="165" fontId="6" fillId="0" borderId="2" pivotButton="0" quotePrefix="0" xfId="0"/>
    <xf numFmtId="165" fontId="7" fillId="4" borderId="2" pivotButton="0" quotePrefix="0" xfId="0"/>
    <xf numFmtId="165" fontId="10" fillId="0" borderId="0" pivotButton="0" quotePrefix="0" xfId="0"/>
    <xf numFmtId="166" fontId="7" fillId="4" borderId="2" pivotButton="0" quotePrefix="0" xfId="0"/>
    <xf numFmtId="165" fontId="9" fillId="5" borderId="2" pivotButton="0" quotePrefix="0" xfId="0"/>
    <xf numFmtId="4" fontId="6" fillId="0" borderId="2" pivotButton="0" quotePrefix="0" xfId="0"/>
    <xf numFmtId="0" fontId="7" fillId="4" borderId="2" pivotButton="0" quotePrefix="0" xfId="0"/>
    <xf numFmtId="0" fontId="0" fillId="0" borderId="1" pivotButton="0" quotePrefix="0" xfId="0"/>
    <xf numFmtId="165" fontId="6" fillId="0" borderId="0" pivotButton="0" quotePrefix="0" xfId="0"/>
    <xf numFmtId="166" fontId="11" fillId="0" borderId="2" pivotButton="0" quotePrefix="0" xfId="0"/>
    <xf numFmtId="165" fontId="9" fillId="0" borderId="0" pivotButton="0" quotePrefix="0" xfId="0"/>
    <xf numFmtId="166" fontId="11" fillId="0" borderId="0" pivotButton="0" quotePrefix="0" xfId="0"/>
    <xf numFmtId="165" fontId="9" fillId="5" borderId="0" pivotButton="0" quotePrefix="0" xfId="0"/>
    <xf numFmtId="164" fontId="11" fillId="0" borderId="2" pivotButton="0" quotePrefix="0" xfId="0"/>
    <xf numFmtId="2" fontId="11" fillId="0" borderId="2" pivotButton="0" quotePrefix="0" xfId="0"/>
    <xf numFmtId="165" fontId="11" fillId="0" borderId="0" pivotButton="0" quotePrefix="0" xfId="0"/>
    <xf numFmtId="1" fontId="10" fillId="0" borderId="0" pivotButton="0" quotePrefix="0" xfId="0"/>
    <xf numFmtId="167" fontId="10" fillId="0" borderId="0" pivotButton="0" quotePrefix="0" xfId="0"/>
    <xf numFmtId="168" fontId="9" fillId="0" borderId="2" pivotButton="0" quotePrefix="0" xfId="0"/>
    <xf numFmtId="166" fontId="4" fillId="0" borderId="0" pivotButton="0" quotePrefix="0" xfId="0"/>
    <xf numFmtId="168" fontId="10" fillId="0" borderId="2" pivotButton="0" quotePrefix="0" xfId="0"/>
    <xf numFmtId="165" fontId="10" fillId="0" borderId="2" pivotButton="0" quotePrefix="0" xfId="0"/>
    <xf numFmtId="4" fontId="12" fillId="2" borderId="2" pivotButton="0" quotePrefix="0" xfId="0"/>
    <xf numFmtId="4" fontId="13" fillId="6" borderId="2" pivotButton="0" quotePrefix="0" xfId="0"/>
    <xf numFmtId="169" fontId="13" fillId="0" borderId="2" pivotButton="0" quotePrefix="0" xfId="0"/>
    <xf numFmtId="169" fontId="9" fillId="2" borderId="2" pivotButton="0" quotePrefix="0" xfId="0"/>
    <xf numFmtId="4" fontId="11" fillId="0" borderId="2" pivotButton="0" quotePrefix="0" xfId="0"/>
    <xf numFmtId="4" fontId="9" fillId="2" borderId="2" pivotButton="0" quotePrefix="0" xfId="0"/>
    <xf numFmtId="166" fontId="13" fillId="0" borderId="2" pivotButton="0" quotePrefix="0" xfId="0"/>
    <xf numFmtId="169" fontId="6" fillId="0" borderId="0" pivotButton="0" quotePrefix="0" xfId="0"/>
    <xf numFmtId="4" fontId="10" fillId="0" borderId="0" pivotButton="0" quotePrefix="0" xfId="0"/>
    <xf numFmtId="4" fontId="10" fillId="0" borderId="2" pivotButton="0" quotePrefix="0" xfId="0"/>
    <xf numFmtId="165" fontId="11" fillId="0" borderId="2" pivotButton="0" quotePrefix="0" xfId="0"/>
    <xf numFmtId="169" fontId="9" fillId="0" borderId="2" pivotButton="0" quotePrefix="0" xfId="0"/>
    <xf numFmtId="0" fontId="2" fillId="0" borderId="0" pivotButton="0" quotePrefix="0" xfId="0"/>
    <xf numFmtId="166" fontId="6" fillId="0" borderId="2" pivotButton="0" quotePrefix="0" xfId="0"/>
    <xf numFmtId="166" fontId="2" fillId="0" borderId="1" pivotButton="0" quotePrefix="0" xfId="0"/>
    <xf numFmtId="2" fontId="8" fillId="0" borderId="0" pivotButton="0" quotePrefix="0" xfId="0"/>
    <xf numFmtId="2" fontId="2" fillId="0" borderId="1" pivotButton="0" quotePrefix="0" xfId="0"/>
    <xf numFmtId="166" fontId="8" fillId="0" borderId="0" pivotButton="0" quotePrefix="0" xfId="0"/>
    <xf numFmtId="4" fontId="9" fillId="0" borderId="2" pivotButton="0" quotePrefix="0" xfId="0"/>
    <xf numFmtId="166"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3"/>
  <sheetViews>
    <sheetView showGridLines="0" workbookViewId="0">
      <selection activeCell="A1" sqref="A1"/>
    </sheetView>
  </sheetViews>
  <sheetFormatPr baseColWidth="8" defaultRowHeight="15"/>
  <cols>
    <col width="3" customWidth="1" min="1" max="1"/>
    <col width="112" customWidth="1" min="2" max="2"/>
  </cols>
  <sheetData>
    <row r="2">
      <c r="B2" s="1" t="inlineStr">
        <is>
          <t>MYNT (GCASH) VALUATION MODEL — corrected build</t>
        </is>
      </c>
    </row>
    <row r="4">
      <c r="B4" s="2" t="inlineStr">
        <is>
          <t>WHAT THIS IS</t>
        </is>
      </c>
    </row>
    <row r="5" ht="26" customHeight="1">
      <c r="B5" s="3" t="inlineStr">
        <is>
          <t>A live-formula valuation model. Change any BLUE cell on Assumptions and every dependent figure recalculates.</t>
        </is>
      </c>
    </row>
    <row r="6" ht="26" customHeight="1">
      <c r="B6" s="3" t="inlineStr">
        <is>
          <t>BLUE = input you may edit.  BLACK = formula.  GREEN = link to another sheet.  YELLOW fill = the levers that move the answer most.</t>
        </is>
      </c>
    </row>
    <row r="8">
      <c r="B8" s="2" t="inlineStr">
        <is>
          <t>WHAT WAS FIXED IN THIS BUILD</t>
        </is>
      </c>
    </row>
    <row r="9" ht="26" customHeight="1">
      <c r="B9" s="3" t="inlineStr">
        <is>
          <t>1. Broken sheet references. 18 formula errors came from unquoted sheet names containing a hyphen or space, which Excel read as external-workbook links (=DCF-[1]FCFF!B21). All now quoted: ='DCF-FCFF'!B21.</t>
        </is>
      </c>
    </row>
    <row r="10" ht="26" customHeight="1">
      <c r="B10" s="3" t="inlineStr">
        <is>
          <t>2. No discounting. 'Sum PV FCFF' summed the RAW forecast cash flows. Nothing was discounted, and a lone PV cell sat orphaned. Both DCFs now discount every year explicitly.</t>
        </is>
      </c>
    </row>
    <row r="11" ht="26" customHeight="1">
      <c r="B11" s="3" t="inlineStr">
        <is>
          <t>3. Terminal value was zero. Both DCFs pointed at Forecast!G9 and Forecast!G12; the sheet ended at column F, so the terminal cash flow was an empty cell.</t>
        </is>
      </c>
    </row>
    <row r="12" ht="26" customHeight="1">
      <c r="B12" s="3" t="inlineStr">
        <is>
          <t>4. Forecast growth was off by one. 2027 used the 2028 rate, 2028 used 2029, 2029 used 2030, and 2030 referenced an empty cell, so it grew at zero.</t>
        </is>
      </c>
    </row>
    <row r="13" ht="39" customHeight="1">
      <c r="B13" s="3" t="inlineStr">
        <is>
          <t>5. EV/EBITDA per share was negative. (EBITDA + debt - free cash) / shares mixes a flow with two stocks and returned -0.0149, making every EV comp negative. Rebuilt as EV = multiple x EBITDA, then equity = EV - debt + cash.</t>
        </is>
      </c>
    </row>
    <row r="14" ht="26" customHeight="1">
      <c r="B14" s="3" t="inlineStr">
        <is>
          <t>6. The WACC sanity check tested the wrong cell. 'Check: g &lt; rf' compared the equity weight against the risk-free rate, so it always read FAIL.</t>
        </is>
      </c>
    </row>
    <row r="15" ht="13" customHeight="1">
      <c r="B15" s="3" t="inlineStr">
        <is>
          <t>7. Sensitivity was dead. 74 hardcoded cells, zero formulas. Both grids are now live and recalculate.</t>
        </is>
      </c>
    </row>
    <row r="16" ht="13" customHeight="1">
      <c r="B16" s="3" t="inlineStr">
        <is>
          <t>8. The DCF tabs were vertical. Rebuilt wide, one column per forecast year, in the conventional layout.</t>
        </is>
      </c>
    </row>
    <row r="18">
      <c r="B18" s="2" t="inlineStr">
        <is>
          <t>A NOTE ON THE HEADLINE NUMBER</t>
        </is>
      </c>
    </row>
    <row r="19" ht="26" customHeight="1">
      <c r="B19" s="3" t="inlineStr">
        <is>
          <t>The published post reports FCFE of PHP 2.61 on a 5.9% risk-free rate. This workbook carries the corrected 7.26% (PH 10Y, 14 Jul 2026), which lifts the cost of equity from 16.62% to 17.98% and moves the answer down.</t>
        </is>
      </c>
    </row>
    <row r="20" ht="26" customHeight="1">
      <c r="B20" s="3" t="inlineStr">
        <is>
          <t>That is the correction working as intended, not a discrepancy. To reproduce the published figure exactly, set the risk-free rate on Assumptions back to 5.9%.</t>
        </is>
      </c>
    </row>
    <row r="22">
      <c r="B22" s="2" t="inlineStr">
        <is>
          <t>METHOD</t>
        </is>
      </c>
    </row>
    <row r="23" ht="39" customHeight="1">
      <c r="B23" s="3" t="inlineStr">
        <is>
          <t>CAPM for the cost of equity; WACC for the cost of capital; a five-year explicit forecast; FCFF discounted at WACC and FCFE at the cost of equity; Gordon Growth terminal value; justified P/B and P/E from fundamentals; peer comparables; scenario and sensitivity analysis.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0"/>
  <sheetViews>
    <sheetView showGridLines="0" workbookViewId="0">
      <selection activeCell="A1" sqref="A1"/>
    </sheetView>
  </sheetViews>
  <sheetFormatPr baseColWidth="8" defaultRowHeight="15"/>
  <cols>
    <col width="34" customWidth="1" min="1" max="1"/>
    <col width="14" customWidth="1" min="2" max="2"/>
    <col width="9" customWidth="1" min="3" max="3"/>
    <col width="62" customWidth="1" min="4" max="4"/>
  </cols>
  <sheetData>
    <row r="1">
      <c r="A1" s="1" t="inlineStr">
        <is>
          <t>ASSUMPTIONS — every input in one place</t>
        </is>
      </c>
    </row>
    <row r="2">
      <c r="A2" s="4" t="inlineStr">
        <is>
          <t>Blue cells are editable. Yellow fill marks the levers that move the answer most.</t>
        </is>
      </c>
    </row>
    <row r="4">
      <c r="A4" s="5" t="inlineStr">
        <is>
          <t>Input</t>
        </is>
      </c>
      <c r="B4" s="5" t="inlineStr">
        <is>
          <t>Value</t>
        </is>
      </c>
      <c r="C4" s="5" t="inlineStr">
        <is>
          <t>Units</t>
        </is>
      </c>
      <c r="D4" s="5" t="inlineStr">
        <is>
          <t>Source</t>
        </is>
      </c>
    </row>
    <row r="5">
      <c r="A5" s="6" t="inlineStr">
        <is>
          <t>DISCOUNT RATE</t>
        </is>
      </c>
      <c r="B5" s="7" t="n"/>
      <c r="C5" s="7" t="n"/>
      <c r="D5" s="7" t="n"/>
      <c r="E5" s="7" t="n"/>
      <c r="F5" s="7" t="n"/>
      <c r="G5" s="7" t="n"/>
      <c r="H5" s="7" t="n"/>
    </row>
    <row r="6">
      <c r="A6" s="8" t="inlineStr">
        <is>
          <t>Risk-free rate</t>
        </is>
      </c>
      <c r="B6" s="9" t="n">
        <v>0.0726</v>
      </c>
      <c r="C6" s="8" t="inlineStr">
        <is>
          <t>%</t>
        </is>
      </c>
      <c r="D6" s="4" t="inlineStr">
        <is>
          <t>PH 10Y government bond yield, 14 Jul 2026 (Trading Economics)</t>
        </is>
      </c>
    </row>
    <row r="7">
      <c r="A7" s="8" t="inlineStr">
        <is>
          <t>Equity risk premium</t>
        </is>
      </c>
      <c r="B7" s="9" t="n">
        <v>0.067</v>
      </c>
      <c r="C7" s="8" t="inlineStr">
        <is>
          <t>%</t>
        </is>
      </c>
      <c r="D7" s="4" t="inlineStr">
        <is>
          <t>Damodaran, Philippines</t>
        </is>
      </c>
    </row>
    <row r="8">
      <c r="A8" s="8" t="inlineStr">
        <is>
          <t>Beta</t>
        </is>
      </c>
      <c r="B8" s="10" t="n">
        <v>1.6</v>
      </c>
      <c r="C8" s="8" t="inlineStr">
        <is>
          <t>x</t>
        </is>
      </c>
      <c r="D8" s="4" t="inlineStr">
        <is>
          <t>Midpoint of Sea, PayPal, Adyen. Mynt has never traded.</t>
        </is>
      </c>
    </row>
    <row r="9">
      <c r="A9" s="11" t="inlineStr">
        <is>
          <t>Cost of equity  Ke = rf + beta x ERP</t>
        </is>
      </c>
      <c r="B9" s="12">
        <f>$B$6+$B$8*$B$7</f>
        <v/>
      </c>
      <c r="C9" s="8" t="inlineStr">
        <is>
          <t>%</t>
        </is>
      </c>
    </row>
    <row r="10">
      <c r="A10" s="8" t="inlineStr">
        <is>
          <t>After-tax cost of debt</t>
        </is>
      </c>
      <c r="B10" s="9" t="n">
        <v>0.0431</v>
      </c>
      <c r="C10" s="8" t="inlineStr">
        <is>
          <t>%</t>
        </is>
      </c>
      <c r="D10" s="4" t="inlineStr">
        <is>
          <t>Bank loans 5.0-6.5%, tax-effected</t>
        </is>
      </c>
    </row>
    <row r="11">
      <c r="A11" s="8" t="inlineStr">
        <is>
          <t>Debt weight (market)</t>
        </is>
      </c>
      <c r="B11" s="9" t="n">
        <v>0.03</v>
      </c>
      <c r="C11" s="8" t="inlineStr">
        <is>
          <t>%</t>
        </is>
      </c>
      <c r="D11" s="4" t="inlineStr">
        <is>
          <t>At the offer price</t>
        </is>
      </c>
    </row>
    <row r="12">
      <c r="A12" s="8" t="inlineStr">
        <is>
          <t>Equity weight (market)</t>
        </is>
      </c>
      <c r="B12" s="13">
        <f>1-$B$11</f>
        <v/>
      </c>
    </row>
    <row r="13">
      <c r="A13" s="11" t="inlineStr">
        <is>
          <t>WACC</t>
        </is>
      </c>
      <c r="B13" s="12">
        <f>$B$11*$B$10+$B$12*$B$9</f>
        <v/>
      </c>
    </row>
    <row r="14">
      <c r="A14" s="8" t="inlineStr">
        <is>
          <t>Terminal growth  g</t>
        </is>
      </c>
      <c r="B14" s="14" t="n">
        <v>0.045</v>
      </c>
      <c r="C14" s="8" t="inlineStr">
        <is>
          <t>%</t>
        </is>
      </c>
      <c r="D14" s="4" t="inlineStr">
        <is>
          <t>Below Philippine inflation. Must stay below the risk-free rate.</t>
        </is>
      </c>
    </row>
    <row r="15">
      <c r="A15" s="8" t="inlineStr">
        <is>
          <t>Tax rate</t>
        </is>
      </c>
      <c r="B15" s="9" t="n">
        <v>0.25</v>
      </c>
      <c r="C15" s="8" t="inlineStr">
        <is>
          <t>%</t>
        </is>
      </c>
      <c r="D15" s="4" t="inlineStr">
        <is>
          <t>CREATE Act corporate income tax</t>
        </is>
      </c>
    </row>
    <row r="16">
      <c r="A16" s="8" t="inlineStr">
        <is>
          <t>Check: is g below the risk-free rate?</t>
        </is>
      </c>
      <c r="B16" s="15">
        <f>IF($B$14&lt;$B$6,"OK","VIOLATION")</f>
        <v/>
      </c>
      <c r="D16" s="4" t="inlineStr">
        <is>
          <t>Was comparing the equity weight against rf, so it always read FAIL.</t>
        </is>
      </c>
    </row>
    <row r="18">
      <c r="A18" s="6" t="inlineStr">
        <is>
          <t>REVENUE GROWTH PATH</t>
        </is>
      </c>
      <c r="B18" s="7" t="n"/>
      <c r="C18" s="7" t="n"/>
      <c r="D18" s="7" t="n"/>
      <c r="E18" s="7" t="n"/>
      <c r="F18" s="7" t="n"/>
      <c r="G18" s="7" t="n"/>
      <c r="H18" s="7" t="n"/>
    </row>
    <row r="19">
      <c r="A19" s="8" t="inlineStr">
        <is>
          <t>Growth FY2026E</t>
        </is>
      </c>
      <c r="B19" s="9" t="n">
        <v>0.15</v>
      </c>
      <c r="C19" s="8" t="inlineStr">
        <is>
          <t>%</t>
        </is>
      </c>
      <c r="D19" s="4" t="inlineStr">
        <is>
          <t>Anchored on Q1-2026 actual 14.8%</t>
        </is>
      </c>
    </row>
    <row r="20">
      <c r="A20" s="8" t="inlineStr">
        <is>
          <t>Growth FY2027E</t>
        </is>
      </c>
      <c r="B20" s="9" t="n">
        <v>0.13</v>
      </c>
      <c r="C20" s="8" t="inlineStr">
        <is>
          <t>%</t>
        </is>
      </c>
      <c r="D20" s="4" t="inlineStr">
        <is>
          <t>Declining gradually</t>
        </is>
      </c>
    </row>
    <row r="21">
      <c r="A21" s="8" t="inlineStr">
        <is>
          <t>Growth FY2028E</t>
        </is>
      </c>
      <c r="B21" s="9" t="n">
        <v>0.11</v>
      </c>
      <c r="C21" s="8" t="inlineStr">
        <is>
          <t>%</t>
        </is>
      </c>
      <c r="D21" s="4" t="inlineStr">
        <is>
          <t>Declining gradually</t>
        </is>
      </c>
    </row>
    <row r="22">
      <c r="A22" s="8" t="inlineStr">
        <is>
          <t>Growth FY2029E</t>
        </is>
      </c>
      <c r="B22" s="9" t="n">
        <v>0.09</v>
      </c>
      <c r="C22" s="8" t="inlineStr">
        <is>
          <t>%</t>
        </is>
      </c>
      <c r="D22" s="4" t="inlineStr">
        <is>
          <t>Declining gradually</t>
        </is>
      </c>
    </row>
    <row r="23">
      <c r="A23" s="8" t="inlineStr">
        <is>
          <t>Growth FY2030E</t>
        </is>
      </c>
      <c r="B23" s="9" t="n">
        <v>0.075</v>
      </c>
      <c r="C23" s="8" t="inlineStr">
        <is>
          <t>%</t>
        </is>
      </c>
      <c r="D23" s="4" t="inlineStr">
        <is>
          <t>Declining gradually</t>
        </is>
      </c>
    </row>
    <row r="25">
      <c r="A25" s="6" t="inlineStr">
        <is>
          <t>OPERATING RATIOS</t>
        </is>
      </c>
      <c r="B25" s="7" t="n"/>
      <c r="C25" s="7" t="n"/>
      <c r="D25" s="7" t="n"/>
      <c r="E25" s="7" t="n"/>
      <c r="F25" s="7" t="n"/>
      <c r="G25" s="7" t="n"/>
      <c r="H25" s="7" t="n"/>
    </row>
    <row r="26">
      <c r="A26" s="8" t="inlineStr">
        <is>
          <t>EBIT margin</t>
        </is>
      </c>
      <c r="B26" s="9" t="n">
        <v>0.248</v>
      </c>
      <c r="C26" s="8" t="inlineStr">
        <is>
          <t>%</t>
        </is>
      </c>
      <c r="D26" s="4" t="inlineStr">
        <is>
          <t>FY2025 actual, held flat</t>
        </is>
      </c>
    </row>
    <row r="27">
      <c r="A27" s="8" t="inlineStr">
        <is>
          <t>D&amp;A as % of revenue</t>
        </is>
      </c>
      <c r="B27" s="9" t="n">
        <v>0.008777401924175195</v>
      </c>
      <c r="C27" s="8" t="inlineStr">
        <is>
          <t>%</t>
        </is>
      </c>
      <c r="D27" s="4" t="inlineStr">
        <is>
          <t>FY2025 actual</t>
        </is>
      </c>
    </row>
    <row r="28">
      <c r="A28" s="8" t="inlineStr">
        <is>
          <t>Capex as % of revenue</t>
        </is>
      </c>
      <c r="B28" s="9" t="n">
        <v>0.00573236015840242</v>
      </c>
      <c r="C28" s="8" t="inlineStr">
        <is>
          <t>%</t>
        </is>
      </c>
      <c r="D28" s="4" t="inlineStr">
        <is>
          <t>FY2025 actual</t>
        </is>
      </c>
    </row>
    <row r="29">
      <c r="A29" s="8" t="inlineStr">
        <is>
          <t>Loan book as % of revenue</t>
        </is>
      </c>
      <c r="B29" s="9" t="n">
        <v>0.5179370030312349</v>
      </c>
      <c r="C29" s="8" t="inlineStr">
        <is>
          <t>%</t>
        </is>
      </c>
      <c r="D29" s="4" t="inlineStr">
        <is>
          <t>FY2025: net loans / adjusted revenue</t>
        </is>
      </c>
    </row>
    <row r="30">
      <c r="A30" s="8" t="inlineStr">
        <is>
          <t>Debt-funded share of loan book</t>
        </is>
      </c>
      <c r="B30" s="14" t="n">
        <v>0.4252717614074207</v>
      </c>
      <c r="C30" s="8" t="inlineStr">
        <is>
          <t>%</t>
        </is>
      </c>
      <c r="D30" s="4" t="inlineStr">
        <is>
          <t>Total debt / net loans at Q1-2026</t>
        </is>
      </c>
    </row>
    <row r="31">
      <c r="A31" s="8" t="inlineStr">
        <is>
          <t>Net margin</t>
        </is>
      </c>
      <c r="B31" s="9" t="n">
        <v>0.2164979509354152</v>
      </c>
      <c r="C31" s="8" t="inlineStr">
        <is>
          <t>%</t>
        </is>
      </c>
      <c r="D31" s="4" t="inlineStr">
        <is>
          <t>FY2025 actual. Used when the net-income basis below is set to 2.</t>
        </is>
      </c>
    </row>
    <row r="32">
      <c r="A32" s="8" t="inlineStr">
        <is>
          <t>Net income basis  1 = NOPAT   2 = net margin x revenue</t>
        </is>
      </c>
      <c r="B32" s="16" t="n">
        <v>2</v>
      </c>
      <c r="D32" s="4" t="inlineStr">
        <is>
          <t>The published model.py derives net income as net margin x revenue, but the workbook used NOPAT. The two differ by roughly PHP 2.7bn a year. Basis 2 reproduces the published figure; basis 1 is the workbook as originally built.</t>
        </is>
      </c>
    </row>
    <row r="34">
      <c r="A34" s="6" t="inlineStr">
        <is>
          <t>CASH AND THE FREE-CASH SWITCH</t>
        </is>
      </c>
      <c r="B34" s="7" t="n"/>
      <c r="C34" s="7" t="n"/>
      <c r="D34" s="7" t="n"/>
      <c r="E34" s="7" t="n"/>
      <c r="F34" s="7" t="n"/>
      <c r="G34" s="7" t="n"/>
      <c r="H34" s="7" t="n"/>
    </row>
    <row r="35">
      <c r="A35" s="8" t="inlineStr">
        <is>
          <t>Cash and equivalents</t>
        </is>
      </c>
      <c r="B35" s="17" t="n">
        <v>67758.10000000001</v>
      </c>
      <c r="C35" s="8" t="inlineStr">
        <is>
          <t>PHP M</t>
        </is>
      </c>
      <c r="D35" s="4" t="inlineStr">
        <is>
          <t>Prospectus printed p. 35</t>
        </is>
      </c>
    </row>
    <row r="36">
      <c r="A36" s="8" t="inlineStr">
        <is>
          <t>Float liabilities</t>
        </is>
      </c>
      <c r="B36" s="17" t="n">
        <v>99612</v>
      </c>
      <c r="C36" s="8" t="inlineStr">
        <is>
          <t>PHP M</t>
        </is>
      </c>
      <c r="D36" s="4" t="inlineStr">
        <is>
          <t>Prospectus printed p. 35</t>
        </is>
      </c>
    </row>
    <row r="37">
      <c r="A37" s="8" t="inlineStr">
        <is>
          <t>Cash in trust</t>
        </is>
      </c>
      <c r="B37" s="17" t="n">
        <v>74032.2</v>
      </c>
      <c r="C37" s="8" t="inlineStr">
        <is>
          <t>PHP M</t>
        </is>
      </c>
      <c r="D37" s="4" t="inlineStr">
        <is>
          <t>Prospectus printed p. 35</t>
        </is>
      </c>
    </row>
    <row r="38">
      <c r="A38" s="8" t="inlineStr">
        <is>
          <t>Corporate cash, disclosed</t>
        </is>
      </c>
      <c r="B38" s="18" t="n">
        <v>39210.8</v>
      </c>
      <c r="C38" s="8" t="inlineStr">
        <is>
          <t>PHP M</t>
        </is>
      </c>
      <c r="D38" s="4" t="inlineStr">
        <is>
          <t>Prospectus printed p. 35, corporate cash at 31 Mar 2026</t>
        </is>
      </c>
    </row>
    <row r="39">
      <c r="A39" s="8" t="inlineStr">
        <is>
          <t>Free cash (memo: inferred basis)</t>
        </is>
      </c>
      <c r="B39" s="19">
        <f>$B$35-($B$36-$B$37)</f>
        <v/>
      </c>
      <c r="C39" s="8" t="inlineStr">
        <is>
          <t>PHP M</t>
        </is>
      </c>
      <c r="D39" s="8" t="inlineStr">
        <is>
          <t>superseded by the disclosed line above</t>
        </is>
      </c>
    </row>
    <row r="40">
      <c r="A40" s="8" t="inlineStr">
        <is>
          <t>Free-cash share</t>
        </is>
      </c>
      <c r="B40" s="20" t="n">
        <v>1</v>
      </c>
      <c r="C40" s="8" t="inlineStr">
        <is>
          <t>%</t>
        </is>
      </c>
      <c r="D40" s="4" t="inlineStr">
        <is>
          <t>0-100%. How much of the balance is genuinely distributable. Prospectus p.44 states wallet funds are held in liquid assets and cannot fund lending.</t>
        </is>
      </c>
    </row>
    <row r="41">
      <c r="A41" s="11" t="inlineStr">
        <is>
          <t>Free-cash adjustment</t>
        </is>
      </c>
      <c r="B41" s="21">
        <f>$B$38*$B$40</f>
        <v/>
      </c>
    </row>
    <row r="43">
      <c r="A43" s="6" t="inlineStr">
        <is>
          <t>OFFER AND BALANCE SHEET</t>
        </is>
      </c>
      <c r="B43" s="7" t="n"/>
      <c r="C43" s="7" t="n"/>
      <c r="D43" s="7" t="n"/>
      <c r="E43" s="7" t="n"/>
      <c r="F43" s="7" t="n"/>
      <c r="G43" s="7" t="n"/>
      <c r="H43" s="7" t="n"/>
    </row>
    <row r="44">
      <c r="A44" s="8" t="inlineStr">
        <is>
          <t>Offer price</t>
        </is>
      </c>
      <c r="B44" s="22" t="n">
        <v>10</v>
      </c>
      <c r="C44" s="8" t="inlineStr">
        <is>
          <t>PHP</t>
        </is>
      </c>
      <c r="D44" s="4" t="inlineStr">
        <is>
          <t>Prospectus printed p. i</t>
        </is>
      </c>
    </row>
    <row r="45">
      <c r="A45" s="8" t="inlineStr">
        <is>
          <t>Shares outstanding, post-offer</t>
        </is>
      </c>
      <c r="B45" s="17" t="n">
        <v>66895.913057</v>
      </c>
      <c r="C45" s="8" t="inlineStr">
        <is>
          <t>M</t>
        </is>
      </c>
      <c r="D45" s="4" t="inlineStr">
        <is>
          <t>Prospectus printed p. 89</t>
        </is>
      </c>
    </row>
    <row r="46">
      <c r="A46" s="8" t="inlineStr">
        <is>
          <t>Total debt</t>
        </is>
      </c>
      <c r="B46" s="17" t="n">
        <v>20750.2</v>
      </c>
      <c r="C46" s="8" t="inlineStr">
        <is>
          <t>PHP M</t>
        </is>
      </c>
      <c r="D46" s="4" t="inlineStr">
        <is>
          <t>Prospectus printed p. 88</t>
        </is>
      </c>
    </row>
    <row r="47">
      <c r="A47" s="8" t="inlineStr">
        <is>
          <t>Book equity</t>
        </is>
      </c>
      <c r="B47" s="17" t="n">
        <v>73519.5</v>
      </c>
      <c r="C47" s="8" t="inlineStr">
        <is>
          <t>PHP M</t>
        </is>
      </c>
      <c r="D47" s="4" t="inlineStr">
        <is>
          <t>Prospectus printed p. 35</t>
        </is>
      </c>
    </row>
    <row r="48">
      <c r="A48" s="8" t="inlineStr">
        <is>
          <t>Adjusted NTBV per share</t>
        </is>
      </c>
      <c r="B48" s="22" t="n">
        <v>1.04</v>
      </c>
      <c r="C48" s="8" t="inlineStr">
        <is>
          <t>PHP</t>
        </is>
      </c>
      <c r="D48" s="4" t="inlineStr">
        <is>
          <t>Prospectus printed p. 89, after LTIP and the June 2026 dividend</t>
        </is>
      </c>
    </row>
    <row r="50">
      <c r="A50" s="6" t="inlineStr">
        <is>
          <t>FY2025 ACTUALS AND RETURNS</t>
        </is>
      </c>
      <c r="B50" s="7" t="n"/>
      <c r="C50" s="7" t="n"/>
      <c r="D50" s="7" t="n"/>
      <c r="E50" s="7" t="n"/>
      <c r="F50" s="7" t="n"/>
      <c r="G50" s="7" t="n"/>
      <c r="H50" s="7" t="n"/>
    </row>
    <row r="51">
      <c r="A51" s="8" t="inlineStr">
        <is>
          <t>Revenue FY2025</t>
        </is>
      </c>
      <c r="B51" s="17" t="n">
        <v>79670.5</v>
      </c>
      <c r="C51" s="8" t="inlineStr">
        <is>
          <t>PHP M</t>
        </is>
      </c>
      <c r="D51" s="4" t="inlineStr">
        <is>
          <t>Prospectus printed p. 112</t>
        </is>
      </c>
    </row>
    <row r="52">
      <c r="A52" s="8" t="inlineStr">
        <is>
          <t>Net income FY2025</t>
        </is>
      </c>
      <c r="B52" s="17" t="n">
        <v>17248.5</v>
      </c>
      <c r="C52" s="8" t="inlineStr">
        <is>
          <t>PHP M</t>
        </is>
      </c>
      <c r="D52" s="4" t="inlineStr">
        <is>
          <t>Prospectus printed p. 34</t>
        </is>
      </c>
    </row>
    <row r="53">
      <c r="A53" s="8" t="inlineStr">
        <is>
          <t>EBITDA FY2025</t>
        </is>
      </c>
      <c r="B53" s="17" t="n">
        <v>20429</v>
      </c>
      <c r="C53" s="8" t="inlineStr">
        <is>
          <t>PHP M</t>
        </is>
      </c>
      <c r="D53" s="4" t="inlineStr">
        <is>
          <t>Prospectus printed p. 37</t>
        </is>
      </c>
    </row>
    <row r="54">
      <c r="A54" s="8" t="inlineStr">
        <is>
          <t>Net loans FY2025</t>
        </is>
      </c>
      <c r="B54" s="17" t="n">
        <v>41264.3</v>
      </c>
      <c r="C54" s="8" t="inlineStr">
        <is>
          <t>PHP M</t>
        </is>
      </c>
      <c r="D54" s="4" t="inlineStr">
        <is>
          <t>Prospectus printed p. 35</t>
        </is>
      </c>
    </row>
    <row r="55">
      <c r="A55" s="8" t="inlineStr">
        <is>
          <t>Net loans Q1-2026</t>
        </is>
      </c>
      <c r="B55" s="17" t="n">
        <v>48792.8</v>
      </c>
      <c r="C55" s="8" t="inlineStr">
        <is>
          <t>PHP M</t>
        </is>
      </c>
      <c r="D55" s="4" t="inlineStr">
        <is>
          <t>Prospectus printed p. 35</t>
        </is>
      </c>
    </row>
    <row r="56">
      <c r="A56" s="8" t="inlineStr">
        <is>
          <t>ROE on average equity</t>
        </is>
      </c>
      <c r="B56" s="9" t="n">
        <v>0.3209728</v>
      </c>
      <c r="C56" s="8" t="inlineStr">
        <is>
          <t>%</t>
        </is>
      </c>
      <c r="D56" s="4" t="inlineStr">
        <is>
          <t>Prospectus printed p. 36</t>
        </is>
      </c>
    </row>
    <row r="57">
      <c r="A57" s="8" t="inlineStr">
        <is>
          <t>ROE on ending equity</t>
        </is>
      </c>
      <c r="B57" s="9" t="n">
        <v>0.2553147</v>
      </c>
      <c r="C57" s="8" t="inlineStr">
        <is>
          <t>%</t>
        </is>
      </c>
      <c r="D57" s="4" t="inlineStr">
        <is>
          <t>Computed</t>
        </is>
      </c>
    </row>
    <row r="59">
      <c r="A59" s="6" t="inlineStr">
        <is>
          <t>COMPS</t>
        </is>
      </c>
      <c r="B59" s="7" t="n"/>
      <c r="C59" s="7" t="n"/>
      <c r="D59" s="7" t="n"/>
      <c r="E59" s="7" t="n"/>
      <c r="F59" s="7" t="n"/>
      <c r="G59" s="7" t="n"/>
      <c r="H59" s="7" t="n"/>
    </row>
    <row r="60">
      <c r="A60" s="8" t="inlineStr">
        <is>
          <t>Comps statistic</t>
        </is>
      </c>
      <c r="B60" s="23" t="inlineStr">
        <is>
          <t>median</t>
        </is>
      </c>
      <c r="D60" s="4" t="inlineStr">
        <is>
          <t>Type "median" or "mean". At the median of the peer set the P/E comp lands ABOVE the offer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34" customWidth="1" min="1" max="1"/>
    <col width="14" customWidth="1" min="2" max="2"/>
    <col width="14" customWidth="1" min="3" max="3"/>
    <col width="14" customWidth="1" min="4" max="4"/>
    <col width="3" customWidth="1" min="5" max="5"/>
    <col width="46" customWidth="1" min="6" max="6"/>
  </cols>
  <sheetData>
    <row r="1">
      <c r="A1" s="1" t="inlineStr">
        <is>
          <t>HISTORICALS — as reported</t>
        </is>
      </c>
    </row>
    <row r="2">
      <c r="A2" s="4" t="inlineStr">
        <is>
          <t>Audited by Isla Lipana &amp; Co. under PFRS. PHP millions.</t>
        </is>
      </c>
    </row>
    <row r="4">
      <c r="A4" s="5" t="inlineStr">
        <is>
          <t>PHP millions</t>
        </is>
      </c>
      <c r="B4" s="5" t="inlineStr">
        <is>
          <t>FY2023</t>
        </is>
      </c>
      <c r="C4" s="5" t="inlineStr">
        <is>
          <t>FY2024</t>
        </is>
      </c>
      <c r="D4" s="5" t="inlineStr">
        <is>
          <t>FY2025</t>
        </is>
      </c>
      <c r="E4" s="24" t="n"/>
      <c r="F4" s="5" t="inlineStr">
        <is>
          <t>Prospectus, printed page</t>
        </is>
      </c>
    </row>
    <row r="5">
      <c r="A5" s="8" t="inlineStr">
        <is>
          <t>Adjusted Revenues</t>
        </is>
      </c>
      <c r="B5" s="25" t="n">
        <v>33602.1</v>
      </c>
      <c r="C5" s="25" t="n">
        <v>54127.8</v>
      </c>
      <c r="D5" s="25" t="n">
        <v>79670.5</v>
      </c>
      <c r="F5" s="4" t="inlineStr">
        <is>
          <t>p. 112</t>
        </is>
      </c>
    </row>
    <row r="6">
      <c r="A6" s="8" t="inlineStr">
        <is>
          <t>EBITDA</t>
        </is>
      </c>
      <c r="B6" s="25" t="n">
        <v>6346</v>
      </c>
      <c r="C6" s="25" t="n">
        <v>13462.1</v>
      </c>
      <c r="D6" s="25" t="n">
        <v>20429</v>
      </c>
      <c r="F6" s="4" t="inlineStr">
        <is>
          <t>p. 37</t>
        </is>
      </c>
    </row>
    <row r="7">
      <c r="A7" s="8" t="inlineStr">
        <is>
          <t>Operating profit</t>
        </is>
      </c>
      <c r="B7" s="25" t="n">
        <v>6072.3</v>
      </c>
      <c r="C7" s="25" t="n">
        <v>13040.2</v>
      </c>
      <c r="D7" s="25" t="n">
        <v>19729.7</v>
      </c>
      <c r="F7" s="4" t="inlineStr">
        <is>
          <t>p. 34</t>
        </is>
      </c>
    </row>
    <row r="8">
      <c r="A8" s="8" t="inlineStr">
        <is>
          <t>Net income</t>
        </is>
      </c>
      <c r="B8" s="25" t="n">
        <v>6383.2</v>
      </c>
      <c r="C8" s="25" t="n">
        <v>11127.9</v>
      </c>
      <c r="D8" s="25" t="n">
        <v>17248.5</v>
      </c>
      <c r="F8" s="4" t="inlineStr">
        <is>
          <t>p. 34</t>
        </is>
      </c>
    </row>
    <row r="9">
      <c r="A9" s="8" t="inlineStr">
        <is>
          <t>Net loan receivables</t>
        </is>
      </c>
      <c r="B9" s="25" t="n">
        <v>11947.6</v>
      </c>
      <c r="C9" s="25" t="n">
        <v>34141.7</v>
      </c>
      <c r="D9" s="25" t="n">
        <v>41264.3</v>
      </c>
      <c r="F9" s="4" t="inlineStr">
        <is>
          <t>p. 35</t>
        </is>
      </c>
    </row>
    <row r="10">
      <c r="A10" s="8" t="inlineStr">
        <is>
          <t>Total debt</t>
        </is>
      </c>
      <c r="B10" s="25" t="n">
        <v>0</v>
      </c>
      <c r="C10" s="25" t="n">
        <v>19000</v>
      </c>
      <c r="D10" s="25" t="n">
        <v>19100.3</v>
      </c>
      <c r="F10" s="4" t="inlineStr">
        <is>
          <t>p. 35</t>
        </is>
      </c>
    </row>
    <row r="11">
      <c r="A11" s="8" t="inlineStr">
        <is>
          <t>D&amp;A</t>
        </is>
      </c>
      <c r="B11" s="25" t="n">
        <v>273.8</v>
      </c>
      <c r="C11" s="25" t="n">
        <v>421.8</v>
      </c>
      <c r="D11" s="25" t="n">
        <v>699.3</v>
      </c>
      <c r="F11" s="4" t="inlineStr">
        <is>
          <t>p. 37</t>
        </is>
      </c>
    </row>
    <row r="12">
      <c r="A12" s="8" t="inlineStr">
        <is>
          <t>Capital expenditure</t>
        </is>
      </c>
      <c r="B12" s="25" t="n">
        <v>298.1</v>
      </c>
      <c r="C12" s="25" t="n">
        <v>520.7</v>
      </c>
      <c r="D12" s="25" t="n">
        <v>456.7</v>
      </c>
      <c r="F12" s="4" t="inlineStr">
        <is>
          <t>p. 142</t>
        </is>
      </c>
    </row>
    <row r="14">
      <c r="A14" s="4" t="inlineStr">
        <is>
          <t>Note: the FY2023 loan figure is the NET receivable (11,872.4 + 75.2). An earlier table used the GROSS on-book figure of 14,273.8 for 2023 while the other years were net, which mixed two definitions in one series.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36" customWidth="1" min="1" max="1"/>
    <col width="14" customWidth="1" min="2" max="2"/>
    <col width="3" customWidth="1" min="3" max="3"/>
    <col width="58" customWidth="1" min="4" max="4"/>
  </cols>
  <sheetData>
    <row r="1">
      <c r="A1" s="1" t="inlineStr">
        <is>
          <t>UNIT ECONOMICS — derived from Historicals</t>
        </is>
      </c>
    </row>
    <row r="2">
      <c r="A2" s="4" t="inlineStr">
        <is>
          <t>Every cell is a formula pointing at Historicals. Nothing retyped.</t>
        </is>
      </c>
    </row>
    <row r="4">
      <c r="A4" s="8" t="inlineStr">
        <is>
          <t>Net margin FY2025</t>
        </is>
      </c>
      <c r="B4" s="26">
        <f>Historicals!D8/Historicals!D5</f>
        <v/>
      </c>
      <c r="D4" s="4" t="inlineStr"/>
    </row>
    <row r="5">
      <c r="A5" s="8" t="inlineStr">
        <is>
          <t>EBITDA margin FY2025</t>
        </is>
      </c>
      <c r="B5" s="26">
        <f>Historicals!D6/Historicals!D5</f>
        <v/>
      </c>
      <c r="D5" s="4" t="inlineStr"/>
    </row>
    <row r="6">
      <c r="A6" s="8" t="inlineStr">
        <is>
          <t>Operating margin FY2025</t>
        </is>
      </c>
      <c r="B6" s="26">
        <f>Historicals!D7/Historicals!D5</f>
        <v/>
      </c>
      <c r="D6" s="4" t="inlineStr">
        <is>
          <t>Feeds the EBIT margin assumption</t>
        </is>
      </c>
    </row>
    <row r="7">
      <c r="A7" s="8" t="inlineStr">
        <is>
          <t>Loan book / revenue FY2025</t>
        </is>
      </c>
      <c r="B7" s="26">
        <f>Historicals!D9/Historicals!D5</f>
        <v/>
      </c>
      <c r="D7" s="4" t="inlineStr"/>
    </row>
    <row r="8">
      <c r="A8" s="8" t="inlineStr">
        <is>
          <t>D&amp;A / revenue FY2025</t>
        </is>
      </c>
      <c r="B8" s="26">
        <f>Historicals!D11/Historicals!D5</f>
        <v/>
      </c>
      <c r="D8" s="4" t="inlineStr"/>
    </row>
    <row r="9">
      <c r="A9" s="8" t="inlineStr">
        <is>
          <t>Capex / revenue FY2025</t>
        </is>
      </c>
      <c r="B9" s="26">
        <f>Historicals!D12/Historicals!D5</f>
        <v/>
      </c>
      <c r="D9" s="4" t="inlineStr">
        <is>
          <t>Under 1% in every period</t>
        </is>
      </c>
    </row>
    <row r="10">
      <c r="A10" s="11" t="inlineStr">
        <is>
          <t>Debt-funded share of the loan book</t>
        </is>
      </c>
      <c r="B10" s="26">
        <f>Assumptions!$B$46/Assumptions!$B$55</f>
        <v/>
      </c>
      <c r="D10" s="4" t="inlineStr">
        <is>
          <t>Total debt over NET loans at Q1-2026. On GROSS on-book loans of 56,162.5 the same ratio is 36.9%.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32" customWidth="1" min="1" max="1"/>
    <col width="13" customWidth="1" min="2" max="2"/>
    <col width="13" customWidth="1" min="3" max="3"/>
    <col width="13" customWidth="1" min="4" max="4"/>
    <col width="13" customWidth="1" min="5" max="5"/>
    <col width="13" customWidth="1" min="6" max="6"/>
    <col width="3" customWidth="1" min="7" max="7"/>
    <col width="44" customWidth="1" min="8" max="8"/>
  </cols>
  <sheetData>
    <row r="1">
      <c r="A1" s="1" t="inlineStr">
        <is>
          <t>FORECAST — FY2026E to FY2030E</t>
        </is>
      </c>
    </row>
    <row r="2">
      <c r="A2" s="4" t="inlineStr">
        <is>
          <t>Growth rates now step correctly year by year. The previous build used the 2028 rate for 2027, the 2029 rate for 2028, and an empty cell for 2030.</t>
        </is>
      </c>
    </row>
    <row r="4">
      <c r="A4" s="5" t="inlineStr">
        <is>
          <t>PHP millions</t>
        </is>
      </c>
      <c r="B4" s="5" t="inlineStr">
        <is>
          <t>FY2026E</t>
        </is>
      </c>
      <c r="C4" s="5" t="inlineStr">
        <is>
          <t>FY2027E</t>
        </is>
      </c>
      <c r="D4" s="5" t="inlineStr">
        <is>
          <t>FY2028E</t>
        </is>
      </c>
      <c r="E4" s="5" t="inlineStr">
        <is>
          <t>FY2029E</t>
        </is>
      </c>
      <c r="F4" s="5" t="inlineStr">
        <is>
          <t>FY2030E</t>
        </is>
      </c>
      <c r="G4" s="24" t="n"/>
      <c r="H4" s="5" t="inlineStr">
        <is>
          <t>Build</t>
        </is>
      </c>
    </row>
    <row r="5">
      <c r="A5" s="11" t="inlineStr">
        <is>
          <t>Revenue</t>
        </is>
      </c>
      <c r="B5" s="27">
        <f>Assumptions!$B$51*(1+Assumptions!$B$19)</f>
        <v/>
      </c>
      <c r="C5" s="27">
        <f>B5*(1+Assumptions!$B$20)</f>
        <v/>
      </c>
      <c r="D5" s="27">
        <f>C5*(1+Assumptions!$B$21)</f>
        <v/>
      </c>
      <c r="E5" s="27">
        <f>D5*(1+Assumptions!$B$22)</f>
        <v/>
      </c>
      <c r="F5" s="27">
        <f>E5*(1+Assumptions!$B$23)</f>
        <v/>
      </c>
      <c r="H5" s="4" t="inlineStr">
        <is>
          <t>prior year x (1 + that year's growth rate)</t>
        </is>
      </c>
    </row>
    <row r="6">
      <c r="A6" s="8" t="inlineStr">
        <is>
          <t xml:space="preserve">  growth</t>
        </is>
      </c>
      <c r="B6" s="28">
        <f>Assumptions!$B$19</f>
        <v/>
      </c>
      <c r="C6" s="28">
        <f>Assumptions!$B$20</f>
        <v/>
      </c>
      <c r="D6" s="28">
        <f>Assumptions!$B$21</f>
        <v/>
      </c>
      <c r="E6" s="28">
        <f>Assumptions!$B$22</f>
        <v/>
      </c>
      <c r="F6" s="28">
        <f>Assumptions!$B$23</f>
        <v/>
      </c>
    </row>
    <row r="7">
      <c r="A7" s="8" t="inlineStr">
        <is>
          <t>EBIT</t>
        </is>
      </c>
      <c r="B7" s="19">
        <f>B5*Assumptions!$B$26</f>
        <v/>
      </c>
      <c r="C7" s="19">
        <f>C5*Assumptions!$B$26</f>
        <v/>
      </c>
      <c r="D7" s="19">
        <f>D5*Assumptions!$B$26</f>
        <v/>
      </c>
      <c r="E7" s="19">
        <f>E5*Assumptions!$B$26</f>
        <v/>
      </c>
      <c r="F7" s="19">
        <f>F5*Assumptions!$B$26</f>
        <v/>
      </c>
      <c r="H7" s="4" t="inlineStr">
        <is>
          <t>revenue x EBIT margin</t>
        </is>
      </c>
    </row>
    <row r="8">
      <c r="A8" s="8" t="inlineStr">
        <is>
          <t>Less: tax</t>
        </is>
      </c>
      <c r="B8" s="19">
        <f>-B7*Assumptions!$B$15</f>
        <v/>
      </c>
      <c r="C8" s="19">
        <f>-C7*Assumptions!$B$15</f>
        <v/>
      </c>
      <c r="D8" s="19">
        <f>-D7*Assumptions!$B$15</f>
        <v/>
      </c>
      <c r="E8" s="19">
        <f>-E7*Assumptions!$B$15</f>
        <v/>
      </c>
      <c r="F8" s="19">
        <f>-F7*Assumptions!$B$15</f>
        <v/>
      </c>
      <c r="H8" s="4" t="inlineStr"/>
    </row>
    <row r="9">
      <c r="A9" s="11" t="inlineStr">
        <is>
          <t>NOPAT</t>
        </is>
      </c>
      <c r="B9" s="27">
        <f>B7+B8</f>
        <v/>
      </c>
      <c r="C9" s="27">
        <f>C7+C8</f>
        <v/>
      </c>
      <c r="D9" s="27">
        <f>D7+D8</f>
        <v/>
      </c>
      <c r="E9" s="27">
        <f>E7+E8</f>
        <v/>
      </c>
      <c r="F9" s="27">
        <f>F7+F8</f>
        <v/>
      </c>
      <c r="H9" s="4" t="inlineStr"/>
    </row>
    <row r="10">
      <c r="A10" s="8" t="inlineStr">
        <is>
          <t>Add: D&amp;A</t>
        </is>
      </c>
      <c r="B10" s="19">
        <f>B5*Assumptions!$B$27</f>
        <v/>
      </c>
      <c r="C10" s="19">
        <f>C5*Assumptions!$B$27</f>
        <v/>
      </c>
      <c r="D10" s="19">
        <f>D5*Assumptions!$B$27</f>
        <v/>
      </c>
      <c r="E10" s="19">
        <f>E5*Assumptions!$B$27</f>
        <v/>
      </c>
      <c r="F10" s="19">
        <f>F5*Assumptions!$B$27</f>
        <v/>
      </c>
      <c r="H10" s="4" t="inlineStr"/>
    </row>
    <row r="11">
      <c r="A11" s="8" t="inlineStr">
        <is>
          <t>Less: capex</t>
        </is>
      </c>
      <c r="B11" s="19">
        <f>-B5*Assumptions!$B$28</f>
        <v/>
      </c>
      <c r="C11" s="19">
        <f>-C5*Assumptions!$B$28</f>
        <v/>
      </c>
      <c r="D11" s="19">
        <f>-D5*Assumptions!$B$28</f>
        <v/>
      </c>
      <c r="E11" s="19">
        <f>-E5*Assumptions!$B$28</f>
        <v/>
      </c>
      <c r="F11" s="19">
        <f>-F5*Assumptions!$B$28</f>
        <v/>
      </c>
      <c r="H11" s="4" t="inlineStr"/>
    </row>
    <row r="12">
      <c r="A12" s="8" t="inlineStr">
        <is>
          <t>Loan book, closing</t>
        </is>
      </c>
      <c r="B12" s="19">
        <f>B5*Assumptions!$B$29</f>
        <v/>
      </c>
      <c r="C12" s="19">
        <f>C5*Assumptions!$B$29</f>
        <v/>
      </c>
      <c r="D12" s="19">
        <f>D5*Assumptions!$B$29</f>
        <v/>
      </c>
      <c r="E12" s="19">
        <f>E5*Assumptions!$B$29</f>
        <v/>
      </c>
      <c r="F12" s="19">
        <f>F5*Assumptions!$B$29</f>
        <v/>
      </c>
      <c r="H12" s="4" t="inlineStr">
        <is>
          <t>revenue x loan-to-revenue ratio</t>
        </is>
      </c>
    </row>
    <row r="13">
      <c r="A13" s="8" t="inlineStr">
        <is>
          <t>Loan book, closing (floored at Q1-2026 actual)</t>
        </is>
      </c>
      <c r="B13" s="19">
        <f>MAX(B12,Assumptions!$B$55)</f>
        <v/>
      </c>
      <c r="C13" s="19">
        <f>C12</f>
        <v/>
      </c>
      <c r="D13" s="19">
        <f>D12</f>
        <v/>
      </c>
      <c r="E13" s="19">
        <f>E12</f>
        <v/>
      </c>
      <c r="F13" s="19">
        <f>F12</f>
        <v/>
      </c>
      <c r="H13" s="4" t="inlineStr">
        <is>
          <t>FY2026 cannot close below the 31 Mar 2026 reported balance</t>
        </is>
      </c>
    </row>
    <row r="14">
      <c r="A14" s="8" t="inlineStr">
        <is>
          <t>Less: increase in loan book</t>
        </is>
      </c>
      <c r="B14" s="19">
        <f>-(B13-Assumptions!$B$54)</f>
        <v/>
      </c>
      <c r="C14" s="19">
        <f>-(C13-B13)</f>
        <v/>
      </c>
      <c r="D14" s="19">
        <f>-(D13-C13)</f>
        <v/>
      </c>
      <c r="E14" s="19">
        <f>-(E13-D13)</f>
        <v/>
      </c>
      <c r="F14" s="19">
        <f>-(F13-E13)</f>
        <v/>
      </c>
      <c r="H14" s="4" t="inlineStr">
        <is>
          <t>FY2026 measured against the FY2025 closing book (period-matched)</t>
        </is>
      </c>
    </row>
    <row r="15">
      <c r="A15" s="11" t="inlineStr">
        <is>
          <t>FREE CASH FLOW TO FIRM</t>
        </is>
      </c>
      <c r="B15" s="29">
        <f>B9+B10+B11+B14</f>
        <v/>
      </c>
      <c r="C15" s="29">
        <f>C9+C10+C11+C14</f>
        <v/>
      </c>
      <c r="D15" s="29">
        <f>D9+D10+D11+D14</f>
        <v/>
      </c>
      <c r="E15" s="29">
        <f>E9+E10+E11+E14</f>
        <v/>
      </c>
      <c r="F15" s="29">
        <f>F9+F10+F11+F14</f>
        <v/>
      </c>
      <c r="H15" s="4" t="inlineStr"/>
    </row>
    <row r="17">
      <c r="A17" s="8" t="inlineStr">
        <is>
          <t>Net income</t>
        </is>
      </c>
      <c r="B17" s="19">
        <f>IF(Assumptions!$B$32=2,B5*Assumptions!$B$31,B9)</f>
        <v/>
      </c>
      <c r="C17" s="19">
        <f>IF(Assumptions!$B$32=2,C5*Assumptions!$B$31,C9)</f>
        <v/>
      </c>
      <c r="D17" s="19">
        <f>IF(Assumptions!$B$32=2,D5*Assumptions!$B$31,D9)</f>
        <v/>
      </c>
      <c r="E17" s="19">
        <f>IF(Assumptions!$B$32=2,E5*Assumptions!$B$31,E9)</f>
        <v/>
      </c>
      <c r="F17" s="19">
        <f>IF(Assumptions!$B$32=2,F5*Assumptions!$B$31,F9)</f>
        <v/>
      </c>
      <c r="H17" s="4" t="inlineStr">
        <is>
          <t>basis 1 = NOPAT; basis 2 = revenue x net margin (the published basis)</t>
        </is>
      </c>
    </row>
    <row r="18">
      <c r="A18" s="8" t="inlineStr">
        <is>
          <t>Add: new debt on loan growth</t>
        </is>
      </c>
      <c r="B18" s="19">
        <f>-B14*Assumptions!$B$30</f>
        <v/>
      </c>
      <c r="C18" s="19">
        <f>-C14*Assumptions!$B$30</f>
        <v/>
      </c>
      <c r="D18" s="19">
        <f>-D14*Assumptions!$B$30</f>
        <v/>
      </c>
      <c r="E18" s="19">
        <f>-E14*Assumptions!$B$30</f>
        <v/>
      </c>
      <c r="F18" s="19">
        <f>-F14*Assumptions!$B$30</f>
        <v/>
      </c>
      <c r="H18" s="4" t="inlineStr">
        <is>
          <t>the debt-funded share of the increase</t>
        </is>
      </c>
    </row>
    <row r="19">
      <c r="A19" s="11" t="inlineStr">
        <is>
          <t>FREE CASH FLOW TO EQUITY</t>
        </is>
      </c>
      <c r="B19" s="29">
        <f>B17+B10+B11+B14+B18</f>
        <v/>
      </c>
      <c r="C19" s="29">
        <f>C17+C10+C11+C14+C18</f>
        <v/>
      </c>
      <c r="D19" s="29">
        <f>D17+D10+D11+D14+D18</f>
        <v/>
      </c>
      <c r="E19" s="29">
        <f>E17+E10+E11+E14+E18</f>
        <v/>
      </c>
      <c r="F19" s="29">
        <f>F17+F10+F11+F14+F18</f>
        <v/>
      </c>
      <c r="H19"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38" customWidth="1" min="1" max="1"/>
    <col width="14" customWidth="1" min="2" max="2"/>
    <col width="3" customWidth="1" min="3" max="3"/>
    <col width="58" customWidth="1" min="4" max="4"/>
  </cols>
  <sheetData>
    <row r="1">
      <c r="A1" s="1" t="inlineStr">
        <is>
          <t>COST OF CAPITAL</t>
        </is>
      </c>
    </row>
    <row r="3">
      <c r="A3" s="8" t="inlineStr">
        <is>
          <t>Risk-free rate</t>
        </is>
      </c>
      <c r="B3" s="30">
        <f>Assumptions!$B$6</f>
        <v/>
      </c>
      <c r="D3" s="4" t="inlineStr">
        <is>
          <t>PH 10Y, 14 Jul 2026</t>
        </is>
      </c>
    </row>
    <row r="4">
      <c r="A4" s="8" t="inlineStr">
        <is>
          <t>Beta</t>
        </is>
      </c>
      <c r="B4" s="31">
        <f>Assumptions!$B$8</f>
        <v/>
      </c>
      <c r="D4" s="4" t="inlineStr">
        <is>
          <t>Peer midpoint. Mynt has never traded.</t>
        </is>
      </c>
    </row>
    <row r="5">
      <c r="A5" s="8" t="inlineStr">
        <is>
          <t>Equity risk premium</t>
        </is>
      </c>
      <c r="B5" s="30">
        <f>Assumptions!$B$7</f>
        <v/>
      </c>
      <c r="D5" s="4" t="inlineStr">
        <is>
          <t>Damodaran, Philippines</t>
        </is>
      </c>
    </row>
    <row r="6">
      <c r="A6" s="11" t="inlineStr">
        <is>
          <t>Cost of equity  Ke</t>
        </is>
      </c>
      <c r="B6" s="12">
        <f>Assumptions!$B$9</f>
        <v/>
      </c>
      <c r="D6" s="4" t="inlineStr">
        <is>
          <t>rf + beta x ERP</t>
        </is>
      </c>
    </row>
    <row r="7">
      <c r="A7" s="8" t="inlineStr">
        <is>
          <t>After-tax cost of debt</t>
        </is>
      </c>
      <c r="B7" s="30">
        <f>Assumptions!$B$10</f>
        <v/>
      </c>
      <c r="D7" s="4" t="inlineStr"/>
    </row>
    <row r="8">
      <c r="A8" s="8" t="inlineStr">
        <is>
          <t>Debt weight</t>
        </is>
      </c>
      <c r="B8" s="26">
        <f>Assumptions!$B$11</f>
        <v/>
      </c>
      <c r="D8" s="4" t="inlineStr">
        <is>
          <t>At the offer price</t>
        </is>
      </c>
    </row>
    <row r="9">
      <c r="A9" s="8" t="inlineStr">
        <is>
          <t>Equity weight</t>
        </is>
      </c>
      <c r="B9" s="26">
        <f>Assumptions!$B$12</f>
        <v/>
      </c>
      <c r="D9" s="4" t="inlineStr"/>
    </row>
    <row r="10">
      <c r="A10" s="11" t="inlineStr">
        <is>
          <t>WACC</t>
        </is>
      </c>
      <c r="B10" s="12">
        <f>Assumptions!$B$13</f>
        <v/>
      </c>
      <c r="D10" s="4" t="inlineStr">
        <is>
          <t>Wd x Kd + We x Ke</t>
        </is>
      </c>
    </row>
    <row r="11">
      <c r="A11" s="8" t="inlineStr">
        <is>
          <t>Terminal growth  g</t>
        </is>
      </c>
      <c r="B11" s="26">
        <f>Assumptions!$B$14</f>
        <v/>
      </c>
      <c r="D11" s="4" t="inlineStr"/>
    </row>
    <row r="13">
      <c r="A13" s="11" t="inlineStr">
        <is>
          <t>Check: is g below the risk-free rate?</t>
        </is>
      </c>
      <c r="B13" s="15">
        <f>IF(Assumptions!$B$14&lt;Assumptions!$B$6,"OK","VIOLATION")</f>
        <v/>
      </c>
      <c r="D13" s="4" t="inlineStr">
        <is>
          <t>Previously compared the EQUITY WEIGHT against rf, so it always read FAIL. A perpetual growth rate above the risk-free rate implies the company eventually becomes the whole economy.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5" customWidth="1" min="7" max="7"/>
    <col width="3" customWidth="1" min="8" max="8"/>
    <col width="44" customWidth="1" min="9" max="9"/>
  </cols>
  <sheetData>
    <row r="1">
      <c r="A1" s="1" t="inlineStr">
        <is>
          <t>DISCOUNTED CASH FLOW — FREE CASH FLOW TO THE FIRM</t>
        </is>
      </c>
    </row>
    <row r="2">
      <c r="A2" s="4" t="inlineStr">
        <is>
          <t>Discounted at WACC, then less debt and plus the free-cash adjustment. One column per forecast year.</t>
        </is>
      </c>
    </row>
    <row r="4">
      <c r="A4" s="5" t="inlineStr">
        <is>
          <t>PHP millions</t>
        </is>
      </c>
      <c r="B4" s="5" t="inlineStr">
        <is>
          <t>FY2026E</t>
        </is>
      </c>
      <c r="C4" s="5" t="inlineStr">
        <is>
          <t>FY2027E</t>
        </is>
      </c>
      <c r="D4" s="5" t="inlineStr">
        <is>
          <t>FY2028E</t>
        </is>
      </c>
      <c r="E4" s="5" t="inlineStr">
        <is>
          <t>FY2029E</t>
        </is>
      </c>
      <c r="F4" s="5" t="inlineStr">
        <is>
          <t>FY2030E</t>
        </is>
      </c>
      <c r="G4" s="5" t="inlineStr">
        <is>
          <t>Terminal</t>
        </is>
      </c>
      <c r="H4" s="24" t="n"/>
      <c r="I4" s="5" t="inlineStr">
        <is>
          <t>Build</t>
        </is>
      </c>
    </row>
    <row r="5">
      <c r="A5" s="11" t="inlineStr">
        <is>
          <t>Free cash flow</t>
        </is>
      </c>
      <c r="B5" s="32">
        <f>Forecast!B15</f>
        <v/>
      </c>
      <c r="C5" s="32">
        <f>Forecast!C15</f>
        <v/>
      </c>
      <c r="D5" s="32">
        <f>Forecast!D15</f>
        <v/>
      </c>
      <c r="E5" s="32">
        <f>Forecast!E15</f>
        <v/>
      </c>
      <c r="F5" s="32">
        <f>Forecast!F15</f>
        <v/>
      </c>
      <c r="G5" s="19">
        <f>F5*(1+Assumptions!$B$14)</f>
        <v/>
      </c>
      <c r="I5" s="4" t="inlineStr">
        <is>
          <t>final year grown one period at g</t>
        </is>
      </c>
    </row>
    <row r="6">
      <c r="A6" s="8" t="inlineStr">
        <is>
          <t>Discount period  t</t>
        </is>
      </c>
      <c r="B6" s="33" t="n">
        <v>1</v>
      </c>
      <c r="C6" s="33" t="n">
        <v>2</v>
      </c>
      <c r="D6" s="33" t="n">
        <v>3</v>
      </c>
      <c r="E6" s="33" t="n">
        <v>4</v>
      </c>
      <c r="F6" s="33" t="n">
        <v>5</v>
      </c>
      <c r="G6" s="33" t="n">
        <v>5</v>
      </c>
      <c r="I6" s="4" t="inlineStr">
        <is>
          <t>terminal value discounted at t = 5</t>
        </is>
      </c>
    </row>
    <row r="7">
      <c r="A7" s="8" t="inlineStr">
        <is>
          <t>Discount factor at WACC</t>
        </is>
      </c>
      <c r="B7" s="34">
        <f>1/(1+Assumptions!$B$13)^B6</f>
        <v/>
      </c>
      <c r="C7" s="34">
        <f>1/(1+Assumptions!$B$13)^C6</f>
        <v/>
      </c>
      <c r="D7" s="34">
        <f>1/(1+Assumptions!$B$13)^D6</f>
        <v/>
      </c>
      <c r="E7" s="34">
        <f>1/(1+Assumptions!$B$13)^E6</f>
        <v/>
      </c>
      <c r="F7" s="34">
        <f>1/(1+Assumptions!$B$13)^F6</f>
        <v/>
      </c>
      <c r="G7" s="34">
        <f>1/(1+Assumptions!$B$13)^G6</f>
        <v/>
      </c>
    </row>
    <row r="8">
      <c r="A8" s="8" t="inlineStr">
        <is>
          <t>Terminal value</t>
        </is>
      </c>
      <c r="G8" s="29">
        <f>G5/(Assumptions!$B$13-Assumptions!$B$14)</f>
        <v/>
      </c>
      <c r="I8" s="4" t="inlineStr">
        <is>
          <t>Gordon Growth on the terminal cash flow</t>
        </is>
      </c>
    </row>
    <row r="9">
      <c r="A9" s="11" t="inlineStr">
        <is>
          <t>Present value</t>
        </is>
      </c>
      <c r="B9" s="27">
        <f>B5*B7</f>
        <v/>
      </c>
      <c r="C9" s="27">
        <f>C5*C7</f>
        <v/>
      </c>
      <c r="D9" s="27">
        <f>D5*D7</f>
        <v/>
      </c>
      <c r="E9" s="27">
        <f>E5*E7</f>
        <v/>
      </c>
      <c r="F9" s="27">
        <f>F5*F7</f>
        <v/>
      </c>
      <c r="G9" s="29">
        <f>G8*G7</f>
        <v/>
      </c>
    </row>
    <row r="11">
      <c r="A11" s="11" t="inlineStr">
        <is>
          <t>PV of FY2026E–FY2030E</t>
        </is>
      </c>
      <c r="B11" s="35">
        <f>SUM(B9:F9)</f>
        <v/>
      </c>
      <c r="I11" s="4" t="inlineStr">
        <is>
          <t>sum of the discounted years above</t>
        </is>
      </c>
    </row>
    <row r="12">
      <c r="A12" s="11" t="inlineStr">
        <is>
          <t>PV of terminal value</t>
        </is>
      </c>
      <c r="B12" s="35">
        <f>G9</f>
        <v/>
      </c>
      <c r="I12" s="4" t="inlineStr"/>
    </row>
    <row r="13">
      <c r="A13" s="11" t="inlineStr">
        <is>
          <t>Total present value</t>
        </is>
      </c>
      <c r="B13" s="35">
        <f>B11+B12</f>
        <v/>
      </c>
      <c r="C13" s="36">
        <f>B12/B13</f>
        <v/>
      </c>
      <c r="I13" s="4" t="inlineStr">
        <is>
          <t>column C: terminal value as a share of the total</t>
        </is>
      </c>
    </row>
    <row r="14">
      <c r="A14" s="8" t="inlineStr">
        <is>
          <t>Less: total debt</t>
        </is>
      </c>
      <c r="B14" s="37">
        <f>-Assumptions!$B$46</f>
        <v/>
      </c>
      <c r="I14" s="4" t="inlineStr"/>
    </row>
    <row r="15">
      <c r="A15" s="8" t="inlineStr">
        <is>
          <t>Plus: free-cash adjustment</t>
        </is>
      </c>
      <c r="B15" s="37">
        <f>Assumptions!$B$41</f>
        <v/>
      </c>
      <c r="I15" s="4" t="inlineStr">
        <is>
          <t>scaled by the free-cash share on Assumptions</t>
        </is>
      </c>
    </row>
    <row r="16">
      <c r="A16" s="11" t="inlineStr">
        <is>
          <t>Equity value</t>
        </is>
      </c>
      <c r="B16" s="35">
        <f>B13+B14+B15</f>
        <v/>
      </c>
      <c r="I16" s="4" t="inlineStr"/>
    </row>
    <row r="17">
      <c r="A17" s="8" t="inlineStr">
        <is>
          <t>Shares outstanding (M)</t>
        </is>
      </c>
      <c r="B17" s="38">
        <f>Assumptions!$B$45</f>
        <v/>
      </c>
      <c r="I17" s="4" t="inlineStr"/>
    </row>
    <row r="18">
      <c r="A18" s="11" t="inlineStr">
        <is>
          <t>VALUE PER SHARE (PHP)</t>
        </is>
      </c>
      <c r="B18" s="39">
        <f>B16/B17</f>
        <v/>
      </c>
      <c r="I18" s="4" t="inlineStr"/>
    </row>
    <row r="20">
      <c r="A20" s="11" t="inlineStr">
        <is>
          <t>Offer price</t>
        </is>
      </c>
      <c r="B20" s="40">
        <f>Assumptions!$B$44</f>
        <v/>
      </c>
    </row>
    <row r="21">
      <c r="A21" s="11" t="inlineStr">
        <is>
          <t>Offer as a multiple of this value</t>
        </is>
      </c>
      <c r="B21" s="41">
        <f>Assumptions!$B$44/B18</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showGridLines="0"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5" customWidth="1" min="7" max="7"/>
    <col width="3" customWidth="1" min="8" max="8"/>
    <col width="44" customWidth="1" min="9" max="9"/>
  </cols>
  <sheetData>
    <row r="1">
      <c r="A1" s="1" t="inlineStr">
        <is>
          <t>DISCOUNTED CASH FLOW — FREE CASH FLOW TO EQUITY  (primary)</t>
        </is>
      </c>
    </row>
    <row r="2">
      <c r="A2" s="4" t="inlineStr">
        <is>
          <t>Discounted at the cost of equity. No debt or cash bridge is needed: the flow is already the equity holder's.</t>
        </is>
      </c>
    </row>
    <row r="4">
      <c r="A4" s="5" t="inlineStr">
        <is>
          <t>PHP millions</t>
        </is>
      </c>
      <c r="B4" s="5" t="inlineStr">
        <is>
          <t>FY2026E</t>
        </is>
      </c>
      <c r="C4" s="5" t="inlineStr">
        <is>
          <t>FY2027E</t>
        </is>
      </c>
      <c r="D4" s="5" t="inlineStr">
        <is>
          <t>FY2028E</t>
        </is>
      </c>
      <c r="E4" s="5" t="inlineStr">
        <is>
          <t>FY2029E</t>
        </is>
      </c>
      <c r="F4" s="5" t="inlineStr">
        <is>
          <t>FY2030E</t>
        </is>
      </c>
      <c r="G4" s="5" t="inlineStr">
        <is>
          <t>Terminal</t>
        </is>
      </c>
      <c r="H4" s="24" t="n"/>
      <c r="I4" s="5" t="inlineStr">
        <is>
          <t>Build</t>
        </is>
      </c>
    </row>
    <row r="5">
      <c r="A5" s="11" t="inlineStr">
        <is>
          <t>Free cash flow</t>
        </is>
      </c>
      <c r="B5" s="32">
        <f>Forecast!B19</f>
        <v/>
      </c>
      <c r="C5" s="32">
        <f>Forecast!C19</f>
        <v/>
      </c>
      <c r="D5" s="32">
        <f>Forecast!D19</f>
        <v/>
      </c>
      <c r="E5" s="32">
        <f>Forecast!E19</f>
        <v/>
      </c>
      <c r="F5" s="32">
        <f>Forecast!F19</f>
        <v/>
      </c>
      <c r="G5" s="19">
        <f>F5*(1+Assumptions!$B$14)</f>
        <v/>
      </c>
      <c r="I5" s="4" t="inlineStr">
        <is>
          <t>final year grown one period at g</t>
        </is>
      </c>
    </row>
    <row r="6">
      <c r="A6" s="8" t="inlineStr">
        <is>
          <t>Discount period  t</t>
        </is>
      </c>
      <c r="B6" s="33" t="n">
        <v>1</v>
      </c>
      <c r="C6" s="33" t="n">
        <v>2</v>
      </c>
      <c r="D6" s="33" t="n">
        <v>3</v>
      </c>
      <c r="E6" s="33" t="n">
        <v>4</v>
      </c>
      <c r="F6" s="33" t="n">
        <v>5</v>
      </c>
      <c r="G6" s="33" t="n">
        <v>5</v>
      </c>
      <c r="I6" s="4" t="inlineStr">
        <is>
          <t>terminal value discounted at t = 5</t>
        </is>
      </c>
    </row>
    <row r="7">
      <c r="A7" s="8" t="inlineStr">
        <is>
          <t>Discount factor at Ke</t>
        </is>
      </c>
      <c r="B7" s="34">
        <f>1/(1+Assumptions!$B$9)^B6</f>
        <v/>
      </c>
      <c r="C7" s="34">
        <f>1/(1+Assumptions!$B$9)^C6</f>
        <v/>
      </c>
      <c r="D7" s="34">
        <f>1/(1+Assumptions!$B$9)^D6</f>
        <v/>
      </c>
      <c r="E7" s="34">
        <f>1/(1+Assumptions!$B$9)^E6</f>
        <v/>
      </c>
      <c r="F7" s="34">
        <f>1/(1+Assumptions!$B$9)^F6</f>
        <v/>
      </c>
      <c r="G7" s="34">
        <f>1/(1+Assumptions!$B$9)^G6</f>
        <v/>
      </c>
    </row>
    <row r="8">
      <c r="A8" s="8" t="inlineStr">
        <is>
          <t>Terminal value</t>
        </is>
      </c>
      <c r="G8" s="29">
        <f>G5/(Assumptions!$B$9-Assumptions!$B$14)</f>
        <v/>
      </c>
      <c r="I8" s="4" t="inlineStr">
        <is>
          <t>Gordon Growth on the terminal cash flow</t>
        </is>
      </c>
    </row>
    <row r="9">
      <c r="A9" s="11" t="inlineStr">
        <is>
          <t>Present value</t>
        </is>
      </c>
      <c r="B9" s="27">
        <f>B5*B7</f>
        <v/>
      </c>
      <c r="C9" s="27">
        <f>C5*C7</f>
        <v/>
      </c>
      <c r="D9" s="27">
        <f>D5*D7</f>
        <v/>
      </c>
      <c r="E9" s="27">
        <f>E5*E7</f>
        <v/>
      </c>
      <c r="F9" s="27">
        <f>F5*F7</f>
        <v/>
      </c>
      <c r="G9" s="29">
        <f>G8*G7</f>
        <v/>
      </c>
    </row>
    <row r="11">
      <c r="A11" s="11" t="inlineStr">
        <is>
          <t>PV of FY2026E–FY2030E</t>
        </is>
      </c>
      <c r="B11" s="35">
        <f>SUM(B9:F9)</f>
        <v/>
      </c>
      <c r="I11" s="4" t="inlineStr">
        <is>
          <t>sum of the discounted years above</t>
        </is>
      </c>
    </row>
    <row r="12">
      <c r="A12" s="11" t="inlineStr">
        <is>
          <t>PV of terminal value</t>
        </is>
      </c>
      <c r="B12" s="35">
        <f>G9</f>
        <v/>
      </c>
      <c r="I12" s="4" t="inlineStr"/>
    </row>
    <row r="13">
      <c r="A13" s="11" t="inlineStr">
        <is>
          <t>Total present value</t>
        </is>
      </c>
      <c r="B13" s="35">
        <f>B11+B12</f>
        <v/>
      </c>
      <c r="C13" s="36">
        <f>B12/B13</f>
        <v/>
      </c>
      <c r="I13" s="4" t="inlineStr">
        <is>
          <t>column C: terminal value as a share of the total</t>
        </is>
      </c>
    </row>
    <row r="14">
      <c r="A14" s="8" t="inlineStr">
        <is>
          <t>Shares outstanding (M)</t>
        </is>
      </c>
      <c r="B14" s="38">
        <f>Assumptions!$B$45</f>
        <v/>
      </c>
      <c r="I14" s="4" t="inlineStr"/>
    </row>
    <row r="15">
      <c r="A15" s="11" t="inlineStr">
        <is>
          <t>VALUE PER SHARE (PHP)</t>
        </is>
      </c>
      <c r="B15" s="39">
        <f>B13/B14</f>
        <v/>
      </c>
      <c r="I15" s="4" t="inlineStr"/>
    </row>
    <row r="17">
      <c r="A17" s="11" t="inlineStr">
        <is>
          <t>Offer price</t>
        </is>
      </c>
      <c r="B17" s="40">
        <f>Assumptions!$B$44</f>
        <v/>
      </c>
    </row>
    <row r="18">
      <c r="A18" s="11" t="inlineStr">
        <is>
          <t>Offer as a multiple of this value</t>
        </is>
      </c>
      <c r="B18" s="41">
        <f>Assumptions!$B$44/B15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40" customWidth="1" min="1" max="1"/>
    <col width="14" customWidth="1" min="2" max="2"/>
    <col width="3" customWidth="1" min="3" max="3"/>
    <col width="62" customWidth="1" min="4" max="4"/>
  </cols>
  <sheetData>
    <row r="1">
      <c r="A1" s="1" t="inlineStr">
        <is>
          <t>JUSTIFIED MULTIPLES — the Gordon model rearranged</t>
        </is>
      </c>
    </row>
    <row r="2">
      <c r="A2" s="4" t="inlineStr">
        <is>
          <t>Uses no forecast at all. Only ROE, growth and the cost of equity.</t>
        </is>
      </c>
    </row>
    <row r="4">
      <c r="A4" s="8" t="inlineStr">
        <is>
          <t>ROE on average equity</t>
        </is>
      </c>
      <c r="B4" s="26">
        <f>Assumptions!$B$56</f>
        <v/>
      </c>
      <c r="D4" s="4" t="inlineStr">
        <is>
          <t>Prospectus p.36</t>
        </is>
      </c>
    </row>
    <row r="5">
      <c r="A5" s="8" t="inlineStr">
        <is>
          <t>ROE on ending equity</t>
        </is>
      </c>
      <c r="B5" s="26">
        <f>Assumptions!$B$57</f>
        <v/>
      </c>
      <c r="D5" s="4" t="inlineStr">
        <is>
          <t>Computed</t>
        </is>
      </c>
    </row>
    <row r="6">
      <c r="A6" s="8" t="inlineStr">
        <is>
          <t>Cost of equity  Ke</t>
        </is>
      </c>
      <c r="B6" s="30">
        <f>Assumptions!$B$9</f>
        <v/>
      </c>
      <c r="D6" s="4" t="inlineStr"/>
    </row>
    <row r="7">
      <c r="A7" s="8" t="inlineStr">
        <is>
          <t>Terminal growth  g</t>
        </is>
      </c>
      <c r="B7" s="26">
        <f>Assumptions!$B$14</f>
        <v/>
      </c>
      <c r="D7" s="4" t="inlineStr"/>
    </row>
    <row r="8">
      <c r="A8" s="11" t="inlineStr">
        <is>
          <t>Justified P/B  (ROE-g)/(Ke-g), avg equity</t>
        </is>
      </c>
      <c r="B8" s="42">
        <f>(B4-B7)/(B6-B7)</f>
        <v/>
      </c>
      <c r="D8" s="4" t="inlineStr"/>
    </row>
    <row r="9">
      <c r="A9" s="11" t="inlineStr">
        <is>
          <t>Justified P/B, ending equity</t>
        </is>
      </c>
      <c r="B9" s="42">
        <f>(B5-B7)/(B6-B7)</f>
        <v/>
      </c>
      <c r="D9" s="4" t="inlineStr"/>
    </row>
    <row r="10">
      <c r="A10" s="8" t="inlineStr">
        <is>
          <t>Book equity per share</t>
        </is>
      </c>
      <c r="B10" s="43">
        <f>Assumptions!$B$47/Assumptions!$B$45</f>
        <v/>
      </c>
      <c r="D10" s="4" t="inlineStr"/>
    </row>
    <row r="11">
      <c r="A11" s="11" t="inlineStr">
        <is>
          <t>Implied value, high (PHP)</t>
        </is>
      </c>
      <c r="B11" s="44">
        <f>B8*B10</f>
        <v/>
      </c>
      <c r="D11" s="4" t="inlineStr"/>
    </row>
    <row r="12">
      <c r="A12" s="11" t="inlineStr">
        <is>
          <t>Implied value, low (PHP)</t>
        </is>
      </c>
      <c r="B12" s="44">
        <f>B9*B10</f>
        <v/>
      </c>
      <c r="D12" s="4" t="inlineStr"/>
    </row>
    <row r="14">
      <c r="A14" s="6" t="inlineStr">
        <is>
          <t>WHAT THE OFFER PRICE DEMANDS</t>
        </is>
      </c>
      <c r="B14" s="7" t="n"/>
      <c r="C14" s="7" t="n"/>
      <c r="D14" s="7" t="n"/>
    </row>
    <row r="15">
      <c r="A15" s="11" t="inlineStr">
        <is>
          <t>Offer P/B on adjusted tangible book</t>
        </is>
      </c>
      <c r="B15" s="41">
        <f>Assumptions!$B$44/Assumptions!$B$48</f>
        <v/>
      </c>
      <c r="D15" s="4" t="inlineStr">
        <is>
          <t>PHP 1.04 per share, prospectus p.89</t>
        </is>
      </c>
    </row>
    <row r="16">
      <c r="A16" s="11" t="inlineStr">
        <is>
          <t>Required ROE  =  g + P/B x (Ke - g)</t>
        </is>
      </c>
      <c r="B16" s="45">
        <f>Assumptions!$B$14+(Assumptions!$B$44/Assumptions!$B$48)*(Assumptions!$B$9-Assumptions!$B$14)</f>
        <v/>
      </c>
      <c r="D16" s="4" t="inlineStr">
        <is>
          <t>Against the 32.1% actually earned in FY2025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16" customWidth="1" min="1" max="1"/>
    <col width="11" customWidth="1" min="2" max="2"/>
    <col width="15" customWidth="1" min="3" max="3"/>
    <col width="12" customWidth="1" min="4" max="4"/>
    <col width="15" customWidth="1" min="5" max="5"/>
    <col width="3" customWidth="1" min="6" max="6"/>
    <col width="48" customWidth="1" min="7" max="7"/>
  </cols>
  <sheetData>
    <row r="1">
      <c r="A1" s="1" t="inlineStr">
        <is>
          <t>PEER COMPARABLES — cross-check only</t>
        </is>
      </c>
    </row>
    <row r="2">
      <c r="A2" s="4" t="inlineStr">
        <is>
          <t>The EV/EBITDA bridge was rebuilt. It previously divided (EBITDA + debt - cash) by shares, mixing a flow with two stocks, and returned a NEGATIVE per-share figure.</t>
        </is>
      </c>
    </row>
    <row r="4">
      <c r="A4" s="5" t="inlineStr">
        <is>
          <t>Peer</t>
        </is>
      </c>
      <c r="B4" s="5" t="inlineStr">
        <is>
          <t>P/E</t>
        </is>
      </c>
      <c r="C4" s="5" t="inlineStr">
        <is>
          <t>Implied PHP</t>
        </is>
      </c>
      <c r="D4" s="5" t="inlineStr">
        <is>
          <t>EV/EBITDA</t>
        </is>
      </c>
      <c r="E4" s="5" t="inlineStr">
        <is>
          <t>Implied PHP</t>
        </is>
      </c>
      <c r="G4" s="5" t="inlineStr">
        <is>
          <t>Source</t>
        </is>
      </c>
    </row>
    <row r="5">
      <c r="A5" s="8" t="inlineStr">
        <is>
          <t>PayPal</t>
        </is>
      </c>
      <c r="B5" s="46" t="n">
        <v>7.79</v>
      </c>
      <c r="C5" s="47">
        <f>B5*$B$10</f>
        <v/>
      </c>
      <c r="D5" s="46" t="n">
        <v>6.12</v>
      </c>
      <c r="E5" s="47">
        <f>(D5*$B$11-Assumptions!$B$46+Assumptions!$B$41)/Assumptions!$B$45</f>
        <v/>
      </c>
      <c r="G5" s="4" t="inlineStr">
        <is>
          <t>public.com 12 Jun / valueinvesting.io 15 Jul 2026</t>
        </is>
      </c>
    </row>
    <row r="6">
      <c r="A6" s="8" t="inlineStr">
        <is>
          <t>Sea</t>
        </is>
      </c>
      <c r="B6" s="46" t="n">
        <v>40.06</v>
      </c>
      <c r="C6" s="47">
        <f>B6*$B$10</f>
        <v/>
      </c>
      <c r="D6" s="46" t="n">
        <v>22.81</v>
      </c>
      <c r="E6" s="47">
        <f>(D6*$B$11-Assumptions!$B$46+Assumptions!$B$41)/Assumptions!$B$45</f>
        <v/>
      </c>
      <c r="G6" s="4" t="inlineStr">
        <is>
          <t>fullratio / public.com, Jul 2026 midpoint</t>
        </is>
      </c>
    </row>
    <row r="7">
      <c r="A7" s="8" t="inlineStr">
        <is>
          <t>Grab</t>
        </is>
      </c>
      <c r="B7" s="46" t="n">
        <v>43</v>
      </c>
      <c r="C7" s="47">
        <f>B7*$B$10</f>
        <v/>
      </c>
      <c r="D7" s="46" t="n">
        <v>23.45</v>
      </c>
      <c r="E7" s="47">
        <f>(D7*$B$11-Assumptions!$B$46+Assumptions!$B$41)/Assumptions!$B$45</f>
        <v/>
      </c>
      <c r="G7" s="4" t="inlineStr">
        <is>
          <t>stockanalysis / TOPONE, 21 Jul 2026</t>
        </is>
      </c>
    </row>
    <row r="8">
      <c r="A8" s="8" t="inlineStr">
        <is>
          <t>GoTo</t>
        </is>
      </c>
      <c r="D8" s="46" t="n">
        <v>15.1</v>
      </c>
      <c r="E8" s="47">
        <f>(D8*$B$11-Assumptions!$B$46+Assumptions!$B$41)/Assumptions!$B$45</f>
        <v/>
      </c>
      <c r="G8" s="4" t="inlineStr">
        <is>
          <t>multiples.vc, 21 Jul 2026</t>
        </is>
      </c>
    </row>
    <row r="10">
      <c r="A10" s="8" t="inlineStr">
        <is>
          <t>EPS FY2025 (PHP)</t>
        </is>
      </c>
      <c r="B10" s="48">
        <f>Assumptions!$B$52/Assumptions!$B$45</f>
        <v/>
      </c>
      <c r="G10" s="4" t="inlineStr">
        <is>
          <t>net income / shares</t>
        </is>
      </c>
    </row>
    <row r="11">
      <c r="A11" s="8" t="inlineStr">
        <is>
          <t>EBITDA FY2025 (PHP M)</t>
        </is>
      </c>
      <c r="B11" s="49">
        <f>Assumptions!$B$53</f>
        <v/>
      </c>
      <c r="G11" s="4" t="inlineStr">
        <is>
          <t>EV = multiple x EBITDA, then equity = EV - debt + cash, then / shares</t>
        </is>
      </c>
    </row>
    <row r="13">
      <c r="A13" s="11" t="inlineStr">
        <is>
          <t>P/E, chosen statistic</t>
        </is>
      </c>
      <c r="B13" s="50">
        <f>IF(Assumptions!$B$60="median",MEDIAN(B5:B7),AVERAGE(B5:B7))</f>
        <v/>
      </c>
      <c r="C13" s="44">
        <f>B13*B10</f>
        <v/>
      </c>
    </row>
    <row r="14">
      <c r="A14" s="11" t="inlineStr">
        <is>
          <t>EV/EBITDA, chosen statistic</t>
        </is>
      </c>
      <c r="B14" s="50">
        <f>IF(Assumptions!$B$60="median",MEDIAN(D5:D8),AVERAGE(D5:D8))</f>
        <v/>
      </c>
      <c r="C14" s="44">
        <f>(B14*B11-Assumptions!$B$46+Assumptions!$B$41)/Assumptions!$B$45</f>
        <v/>
      </c>
    </row>
    <row r="16">
      <c r="A16" s="11" t="inlineStr">
        <is>
          <t>Mynt at the offer price</t>
        </is>
      </c>
      <c r="B16" s="41">
        <f>Assumptions!$B$44*Assumptions!$B$45/Assumptions!$B$52</f>
        <v/>
      </c>
      <c r="C16" s="40">
        <f>Assumptions!$B$44</f>
        <v/>
      </c>
    </row>
    <row r="18">
      <c r="A18" s="4" t="inlineStr">
        <is>
          <t>At the median of this peer set the P/E comparable lands ABOVE the offer price. That is the strongest form of the counter-argument, and it belongs in the open rather than behind a single undocumented multiple.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40" customWidth="1" min="1" max="1"/>
    <col width="15" customWidth="1" min="2" max="2"/>
    <col width="15" customWidth="1" min="3" max="3"/>
    <col width="15" customWidth="1" min="4" max="4"/>
    <col width="3" customWidth="1" min="5" max="5"/>
    <col width="52" customWidth="1" min="6" max="6"/>
  </cols>
  <sheetData>
    <row r="1">
      <c r="A1" s="1" t="inlineStr">
        <is>
          <t>SCENARIOS — how much of the cash balance is really free</t>
        </is>
      </c>
    </row>
    <row r="2">
      <c r="A2" s="4" t="inlineStr">
        <is>
          <t>The FCFF valuation adds back a cash balance. This is what happens when you vary how much of it is genuinely distributable.</t>
        </is>
      </c>
    </row>
    <row r="4">
      <c r="A4" s="5" t="inlineStr"/>
      <c r="B4" s="5" t="inlineStr">
        <is>
          <t>100% free</t>
        </is>
      </c>
      <c r="C4" s="5" t="inlineStr">
        <is>
          <t>50% free</t>
        </is>
      </c>
      <c r="D4" s="5" t="inlineStr">
        <is>
          <t>0% free</t>
        </is>
      </c>
      <c r="F4" s="51" t="inlineStr">
        <is>
          <t>Note</t>
        </is>
      </c>
    </row>
    <row r="5">
      <c r="A5" s="8" t="inlineStr">
        <is>
          <t>Free-cash share</t>
        </is>
      </c>
      <c r="B5" s="52" t="n">
        <v>1</v>
      </c>
      <c r="C5" s="52" t="n">
        <v>0.5</v>
      </c>
      <c r="D5" s="52" t="n">
        <v>0</v>
      </c>
      <c r="F5" s="4" t="inlineStr">
        <is>
          <t>Matches the switch on Assumptions</t>
        </is>
      </c>
    </row>
    <row r="6">
      <c r="A6" s="8" t="inlineStr">
        <is>
          <t>Free-cash adjustment (PHP M)</t>
        </is>
      </c>
      <c r="B6" s="19">
        <f>Assumptions!$B$38*B5</f>
        <v/>
      </c>
      <c r="C6" s="19">
        <f>Assumptions!$B$38*C5</f>
        <v/>
      </c>
      <c r="D6" s="19">
        <f>Assumptions!$B$38*D5</f>
        <v/>
      </c>
    </row>
    <row r="7">
      <c r="A7" s="11" t="inlineStr">
        <is>
          <t>FCFF value per share (PHP)</t>
        </is>
      </c>
      <c r="B7" s="39">
        <f>'DCF-FCFF'!$B$18-(Assumptions!$B$41-B6)/Assumptions!$B$45</f>
        <v/>
      </c>
      <c r="C7" s="39">
        <f>'DCF-FCFF'!$B$18-(Assumptions!$B$41-C6)/Assumptions!$B$45</f>
        <v/>
      </c>
      <c r="D7" s="39">
        <f>'DCF-FCFF'!$B$18-(Assumptions!$B$41-D6)/Assumptions!$B$45</f>
        <v/>
      </c>
      <c r="F7" s="4" t="inlineStr">
        <is>
          <t>The FCFE valuation does not add cash back, so it is unaffected.</t>
        </is>
      </c>
    </row>
    <row r="8">
      <c r="A8" s="8" t="inlineStr">
        <is>
          <t>FCFE value per share (PHP)</t>
        </is>
      </c>
      <c r="B8" s="43">
        <f>'DCF-FCFE'!$B$15</f>
        <v/>
      </c>
      <c r="C8" s="43">
        <f>'DCF-FCFE'!$B$15</f>
        <v/>
      </c>
      <c r="D8" s="43">
        <f>'DCF-FCFE'!$B$15</f>
        <v/>
      </c>
    </row>
    <row r="9">
      <c r="A9" s="11" t="inlineStr">
        <is>
          <t>Offer price</t>
        </is>
      </c>
      <c r="B9" s="40">
        <f>Assumptions!$B$44</f>
        <v/>
      </c>
      <c r="C9" s="40">
        <f>Assumptions!$B$44</f>
        <v/>
      </c>
      <c r="D9" s="40">
        <f>Assumptions!$B$44</f>
        <v/>
      </c>
    </row>
    <row r="11">
      <c r="A11" s="4" t="inlineStr">
        <is>
          <t>Prospectus printed p.44 states that GCash Wallet funds are held in more liquid assets and cannot be used to facilitate lending. The only observed distribution is the PHP 5,001.2m dividend of 17 June 2026, which is 11.9% of the cash balance being added back.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3" customWidth="1" min="7" max="7"/>
    <col width="50" customWidth="1" min="8" max="8"/>
  </cols>
  <sheetData>
    <row r="1">
      <c r="A1" s="1" t="inlineStr">
        <is>
          <t>SENSITIVITY — live grids</t>
        </is>
      </c>
    </row>
    <row r="2">
      <c r="A2" s="4" t="inlineStr">
        <is>
          <t>These were 74 hardcoded cells with no formulas. Both grids now recalculate from the Assumptions tab.</t>
        </is>
      </c>
    </row>
    <row r="4">
      <c r="A4" s="51" t="inlineStr">
        <is>
          <t>Beta (down) x terminal growth (across) -&gt; FCFE PHP per share</t>
        </is>
      </c>
    </row>
    <row r="5">
      <c r="A5" s="5" t="inlineStr"/>
      <c r="B5" s="53" t="n">
        <v>0.03</v>
      </c>
      <c r="C5" s="53" t="n">
        <v>0.035</v>
      </c>
      <c r="D5" s="53" t="n">
        <v>0.04</v>
      </c>
      <c r="E5" s="53" t="n">
        <v>0.045</v>
      </c>
      <c r="F5" s="53" t="n">
        <v>0.05</v>
      </c>
    </row>
    <row r="6">
      <c r="A6" s="54" t="n">
        <v>1</v>
      </c>
      <c r="B6" s="48">
        <f>'DCF-FCFE'!$B$15*((Assumptions!$B$9-Assumptions!$B$14)/((Assumptions!$B$6+1.0*Assumptions!$B$7)-0.03))</f>
        <v/>
      </c>
      <c r="C6" s="48">
        <f>'DCF-FCFE'!$B$15*((Assumptions!$B$9-Assumptions!$B$14)/((Assumptions!$B$6+1.0*Assumptions!$B$7)-0.035))</f>
        <v/>
      </c>
      <c r="D6" s="48">
        <f>'DCF-FCFE'!$B$15*((Assumptions!$B$9-Assumptions!$B$14)/((Assumptions!$B$6+1.0*Assumptions!$B$7)-0.04))</f>
        <v/>
      </c>
      <c r="E6" s="48">
        <f>'DCF-FCFE'!$B$15*((Assumptions!$B$9-Assumptions!$B$14)/((Assumptions!$B$6+1.0*Assumptions!$B$7)-0.045))</f>
        <v/>
      </c>
      <c r="F6" s="48">
        <f>'DCF-FCFE'!$B$15*((Assumptions!$B$9-Assumptions!$B$14)/((Assumptions!$B$6+1.0*Assumptions!$B$7)-0.05))</f>
        <v/>
      </c>
    </row>
    <row r="7">
      <c r="A7" s="54" t="n">
        <v>1.2</v>
      </c>
      <c r="B7" s="48">
        <f>'DCF-FCFE'!$B$15*((Assumptions!$B$9-Assumptions!$B$14)/((Assumptions!$B$6+1.2*Assumptions!$B$7)-0.03))</f>
        <v/>
      </c>
      <c r="C7" s="48">
        <f>'DCF-FCFE'!$B$15*((Assumptions!$B$9-Assumptions!$B$14)/((Assumptions!$B$6+1.2*Assumptions!$B$7)-0.035))</f>
        <v/>
      </c>
      <c r="D7" s="48">
        <f>'DCF-FCFE'!$B$15*((Assumptions!$B$9-Assumptions!$B$14)/((Assumptions!$B$6+1.2*Assumptions!$B$7)-0.04))</f>
        <v/>
      </c>
      <c r="E7" s="48">
        <f>'DCF-FCFE'!$B$15*((Assumptions!$B$9-Assumptions!$B$14)/((Assumptions!$B$6+1.2*Assumptions!$B$7)-0.045))</f>
        <v/>
      </c>
      <c r="F7" s="48">
        <f>'DCF-FCFE'!$B$15*((Assumptions!$B$9-Assumptions!$B$14)/((Assumptions!$B$6+1.2*Assumptions!$B$7)-0.05))</f>
        <v/>
      </c>
    </row>
    <row r="8">
      <c r="A8" s="54" t="n">
        <v>1.4</v>
      </c>
      <c r="B8" s="48">
        <f>'DCF-FCFE'!$B$15*((Assumptions!$B$9-Assumptions!$B$14)/((Assumptions!$B$6+1.4*Assumptions!$B$7)-0.03))</f>
        <v/>
      </c>
      <c r="C8" s="48">
        <f>'DCF-FCFE'!$B$15*((Assumptions!$B$9-Assumptions!$B$14)/((Assumptions!$B$6+1.4*Assumptions!$B$7)-0.035))</f>
        <v/>
      </c>
      <c r="D8" s="48">
        <f>'DCF-FCFE'!$B$15*((Assumptions!$B$9-Assumptions!$B$14)/((Assumptions!$B$6+1.4*Assumptions!$B$7)-0.04))</f>
        <v/>
      </c>
      <c r="E8" s="48">
        <f>'DCF-FCFE'!$B$15*((Assumptions!$B$9-Assumptions!$B$14)/((Assumptions!$B$6+1.4*Assumptions!$B$7)-0.045))</f>
        <v/>
      </c>
      <c r="F8" s="48">
        <f>'DCF-FCFE'!$B$15*((Assumptions!$B$9-Assumptions!$B$14)/((Assumptions!$B$6+1.4*Assumptions!$B$7)-0.05))</f>
        <v/>
      </c>
    </row>
    <row r="9">
      <c r="A9" s="54" t="n">
        <v>1.6</v>
      </c>
      <c r="B9" s="48">
        <f>'DCF-FCFE'!$B$15*((Assumptions!$B$9-Assumptions!$B$14)/((Assumptions!$B$6+1.6*Assumptions!$B$7)-0.03))</f>
        <v/>
      </c>
      <c r="C9" s="48">
        <f>'DCF-FCFE'!$B$15*((Assumptions!$B$9-Assumptions!$B$14)/((Assumptions!$B$6+1.6*Assumptions!$B$7)-0.035))</f>
        <v/>
      </c>
      <c r="D9" s="48">
        <f>'DCF-FCFE'!$B$15*((Assumptions!$B$9-Assumptions!$B$14)/((Assumptions!$B$6+1.6*Assumptions!$B$7)-0.04))</f>
        <v/>
      </c>
      <c r="E9" s="48">
        <f>'DCF-FCFE'!$B$15*((Assumptions!$B$9-Assumptions!$B$14)/((Assumptions!$B$6+1.6*Assumptions!$B$7)-0.045))</f>
        <v/>
      </c>
      <c r="F9" s="48">
        <f>'DCF-FCFE'!$B$15*((Assumptions!$B$9-Assumptions!$B$14)/((Assumptions!$B$6+1.6*Assumptions!$B$7)-0.05))</f>
        <v/>
      </c>
    </row>
    <row r="10">
      <c r="A10" s="54" t="n">
        <v>1.8</v>
      </c>
      <c r="B10" s="48">
        <f>'DCF-FCFE'!$B$15*((Assumptions!$B$9-Assumptions!$B$14)/((Assumptions!$B$6+1.8*Assumptions!$B$7)-0.03))</f>
        <v/>
      </c>
      <c r="C10" s="48">
        <f>'DCF-FCFE'!$B$15*((Assumptions!$B$9-Assumptions!$B$14)/((Assumptions!$B$6+1.8*Assumptions!$B$7)-0.035))</f>
        <v/>
      </c>
      <c r="D10" s="48">
        <f>'DCF-FCFE'!$B$15*((Assumptions!$B$9-Assumptions!$B$14)/((Assumptions!$B$6+1.8*Assumptions!$B$7)-0.04))</f>
        <v/>
      </c>
      <c r="E10" s="48">
        <f>'DCF-FCFE'!$B$15*((Assumptions!$B$9-Assumptions!$B$14)/((Assumptions!$B$6+1.8*Assumptions!$B$7)-0.045))</f>
        <v/>
      </c>
      <c r="F10" s="48">
        <f>'DCF-FCFE'!$B$15*((Assumptions!$B$9-Assumptions!$B$14)/((Assumptions!$B$6+1.8*Assumptions!$B$7)-0.05))</f>
        <v/>
      </c>
    </row>
    <row r="11">
      <c r="A11" s="54" t="n">
        <v>2</v>
      </c>
      <c r="B11" s="48">
        <f>'DCF-FCFE'!$B$15*((Assumptions!$B$9-Assumptions!$B$14)/((Assumptions!$B$6+2.0*Assumptions!$B$7)-0.03))</f>
        <v/>
      </c>
      <c r="C11" s="48">
        <f>'DCF-FCFE'!$B$15*((Assumptions!$B$9-Assumptions!$B$14)/((Assumptions!$B$6+2.0*Assumptions!$B$7)-0.035))</f>
        <v/>
      </c>
      <c r="D11" s="48">
        <f>'DCF-FCFE'!$B$15*((Assumptions!$B$9-Assumptions!$B$14)/((Assumptions!$B$6+2.0*Assumptions!$B$7)-0.04))</f>
        <v/>
      </c>
      <c r="E11" s="48">
        <f>'DCF-FCFE'!$B$15*((Assumptions!$B$9-Assumptions!$B$14)/((Assumptions!$B$6+2.0*Assumptions!$B$7)-0.045))</f>
        <v/>
      </c>
      <c r="F11" s="48">
        <f>'DCF-FCFE'!$B$15*((Assumptions!$B$9-Assumptions!$B$14)/((Assumptions!$B$6+2.0*Assumptions!$B$7)-0.05))</f>
        <v/>
      </c>
    </row>
    <row r="12">
      <c r="A12" s="4" t="inlineStr">
        <is>
          <t>Each cell rescales the live base case by the ratio of discount spreads, so the whole grid moves when you change an assumption.</t>
        </is>
      </c>
    </row>
    <row r="14">
      <c r="A14" s="51" t="inlineStr">
        <is>
          <t>Free-cash share (down) x beta (across) -&gt; FCFF PHP per share</t>
        </is>
      </c>
    </row>
    <row r="15">
      <c r="A15" s="5" t="inlineStr"/>
      <c r="B15" s="55" t="n">
        <v>1</v>
      </c>
      <c r="C15" s="55" t="n">
        <v>1.2</v>
      </c>
      <c r="D15" s="55" t="n">
        <v>1.4</v>
      </c>
      <c r="E15" s="55" t="n">
        <v>1.6</v>
      </c>
      <c r="F15" s="55" t="n">
        <v>1.8</v>
      </c>
    </row>
    <row r="16">
      <c r="A16" s="56" t="n">
        <v>1</v>
      </c>
      <c r="B16" s="48">
        <f>('DCF-FCFF'!$B$18*((Assumptions!$B$13-Assumptions!$B$14)/((Assumptions!$B$11*Assumptions!$B$10+Assumptions!$B$12*(Assumptions!$B$6+1.0*Assumptions!$B$7))-Assumptions!$B$14)))-(Assumptions!$B$41-Assumptions!$B$38*1.0)/Assumptions!$B$45</f>
        <v/>
      </c>
      <c r="C16" s="48">
        <f>('DCF-FCFF'!$B$18*((Assumptions!$B$13-Assumptions!$B$14)/((Assumptions!$B$11*Assumptions!$B$10+Assumptions!$B$12*(Assumptions!$B$6+1.2*Assumptions!$B$7))-Assumptions!$B$14)))-(Assumptions!$B$41-Assumptions!$B$38*1.0)/Assumptions!$B$45</f>
        <v/>
      </c>
      <c r="D16" s="48">
        <f>('DCF-FCFF'!$B$18*((Assumptions!$B$13-Assumptions!$B$14)/((Assumptions!$B$11*Assumptions!$B$10+Assumptions!$B$12*(Assumptions!$B$6+1.4*Assumptions!$B$7))-Assumptions!$B$14)))-(Assumptions!$B$41-Assumptions!$B$38*1.0)/Assumptions!$B$45</f>
        <v/>
      </c>
      <c r="E16" s="48">
        <f>('DCF-FCFF'!$B$18*((Assumptions!$B$13-Assumptions!$B$14)/((Assumptions!$B$11*Assumptions!$B$10+Assumptions!$B$12*(Assumptions!$B$6+1.6*Assumptions!$B$7))-Assumptions!$B$14)))-(Assumptions!$B$41-Assumptions!$B$38*1.0)/Assumptions!$B$45</f>
        <v/>
      </c>
      <c r="F16" s="48">
        <f>('DCF-FCFF'!$B$18*((Assumptions!$B$13-Assumptions!$B$14)/((Assumptions!$B$11*Assumptions!$B$10+Assumptions!$B$12*(Assumptions!$B$6+1.8*Assumptions!$B$7))-Assumptions!$B$14)))-(Assumptions!$B$41-Assumptions!$B$38*1.0)/Assumptions!$B$45</f>
        <v/>
      </c>
    </row>
    <row r="17">
      <c r="A17" s="56" t="n">
        <v>0.75</v>
      </c>
      <c r="B17" s="48">
        <f>('DCF-FCFF'!$B$18*((Assumptions!$B$13-Assumptions!$B$14)/((Assumptions!$B$11*Assumptions!$B$10+Assumptions!$B$12*(Assumptions!$B$6+1.0*Assumptions!$B$7))-Assumptions!$B$14)))-(Assumptions!$B$41-Assumptions!$B$38*0.75)/Assumptions!$B$45</f>
        <v/>
      </c>
      <c r="C17" s="48">
        <f>('DCF-FCFF'!$B$18*((Assumptions!$B$13-Assumptions!$B$14)/((Assumptions!$B$11*Assumptions!$B$10+Assumptions!$B$12*(Assumptions!$B$6+1.2*Assumptions!$B$7))-Assumptions!$B$14)))-(Assumptions!$B$41-Assumptions!$B$38*0.75)/Assumptions!$B$45</f>
        <v/>
      </c>
      <c r="D17" s="48">
        <f>('DCF-FCFF'!$B$18*((Assumptions!$B$13-Assumptions!$B$14)/((Assumptions!$B$11*Assumptions!$B$10+Assumptions!$B$12*(Assumptions!$B$6+1.4*Assumptions!$B$7))-Assumptions!$B$14)))-(Assumptions!$B$41-Assumptions!$B$38*0.75)/Assumptions!$B$45</f>
        <v/>
      </c>
      <c r="E17" s="48">
        <f>('DCF-FCFF'!$B$18*((Assumptions!$B$13-Assumptions!$B$14)/((Assumptions!$B$11*Assumptions!$B$10+Assumptions!$B$12*(Assumptions!$B$6+1.6*Assumptions!$B$7))-Assumptions!$B$14)))-(Assumptions!$B$41-Assumptions!$B$38*0.75)/Assumptions!$B$45</f>
        <v/>
      </c>
      <c r="F17" s="48">
        <f>('DCF-FCFF'!$B$18*((Assumptions!$B$13-Assumptions!$B$14)/((Assumptions!$B$11*Assumptions!$B$10+Assumptions!$B$12*(Assumptions!$B$6+1.8*Assumptions!$B$7))-Assumptions!$B$14)))-(Assumptions!$B$41-Assumptions!$B$38*0.75)/Assumptions!$B$45</f>
        <v/>
      </c>
    </row>
    <row r="18">
      <c r="A18" s="56" t="n">
        <v>0.5</v>
      </c>
      <c r="B18" s="48">
        <f>('DCF-FCFF'!$B$18*((Assumptions!$B$13-Assumptions!$B$14)/((Assumptions!$B$11*Assumptions!$B$10+Assumptions!$B$12*(Assumptions!$B$6+1.0*Assumptions!$B$7))-Assumptions!$B$14)))-(Assumptions!$B$41-Assumptions!$B$38*0.5)/Assumptions!$B$45</f>
        <v/>
      </c>
      <c r="C18" s="48">
        <f>('DCF-FCFF'!$B$18*((Assumptions!$B$13-Assumptions!$B$14)/((Assumptions!$B$11*Assumptions!$B$10+Assumptions!$B$12*(Assumptions!$B$6+1.2*Assumptions!$B$7))-Assumptions!$B$14)))-(Assumptions!$B$41-Assumptions!$B$38*0.5)/Assumptions!$B$45</f>
        <v/>
      </c>
      <c r="D18" s="48">
        <f>('DCF-FCFF'!$B$18*((Assumptions!$B$13-Assumptions!$B$14)/((Assumptions!$B$11*Assumptions!$B$10+Assumptions!$B$12*(Assumptions!$B$6+1.4*Assumptions!$B$7))-Assumptions!$B$14)))-(Assumptions!$B$41-Assumptions!$B$38*0.5)/Assumptions!$B$45</f>
        <v/>
      </c>
      <c r="E18" s="48">
        <f>('DCF-FCFF'!$B$18*((Assumptions!$B$13-Assumptions!$B$14)/((Assumptions!$B$11*Assumptions!$B$10+Assumptions!$B$12*(Assumptions!$B$6+1.6*Assumptions!$B$7))-Assumptions!$B$14)))-(Assumptions!$B$41-Assumptions!$B$38*0.5)/Assumptions!$B$45</f>
        <v/>
      </c>
      <c r="F18" s="48">
        <f>('DCF-FCFF'!$B$18*((Assumptions!$B$13-Assumptions!$B$14)/((Assumptions!$B$11*Assumptions!$B$10+Assumptions!$B$12*(Assumptions!$B$6+1.8*Assumptions!$B$7))-Assumptions!$B$14)))-(Assumptions!$B$41-Assumptions!$B$38*0.5)/Assumptions!$B$45</f>
        <v/>
      </c>
    </row>
    <row r="19">
      <c r="A19" s="56" t="n">
        <v>0.25</v>
      </c>
      <c r="B19" s="48">
        <f>('DCF-FCFF'!$B$18*((Assumptions!$B$13-Assumptions!$B$14)/((Assumptions!$B$11*Assumptions!$B$10+Assumptions!$B$12*(Assumptions!$B$6+1.0*Assumptions!$B$7))-Assumptions!$B$14)))-(Assumptions!$B$41-Assumptions!$B$38*0.25)/Assumptions!$B$45</f>
        <v/>
      </c>
      <c r="C19" s="48">
        <f>('DCF-FCFF'!$B$18*((Assumptions!$B$13-Assumptions!$B$14)/((Assumptions!$B$11*Assumptions!$B$10+Assumptions!$B$12*(Assumptions!$B$6+1.2*Assumptions!$B$7))-Assumptions!$B$14)))-(Assumptions!$B$41-Assumptions!$B$38*0.25)/Assumptions!$B$45</f>
        <v/>
      </c>
      <c r="D19" s="48">
        <f>('DCF-FCFF'!$B$18*((Assumptions!$B$13-Assumptions!$B$14)/((Assumptions!$B$11*Assumptions!$B$10+Assumptions!$B$12*(Assumptions!$B$6+1.4*Assumptions!$B$7))-Assumptions!$B$14)))-(Assumptions!$B$41-Assumptions!$B$38*0.25)/Assumptions!$B$45</f>
        <v/>
      </c>
      <c r="E19" s="48">
        <f>('DCF-FCFF'!$B$18*((Assumptions!$B$13-Assumptions!$B$14)/((Assumptions!$B$11*Assumptions!$B$10+Assumptions!$B$12*(Assumptions!$B$6+1.6*Assumptions!$B$7))-Assumptions!$B$14)))-(Assumptions!$B$41-Assumptions!$B$38*0.25)/Assumptions!$B$45</f>
        <v/>
      </c>
      <c r="F19" s="48">
        <f>('DCF-FCFF'!$B$18*((Assumptions!$B$13-Assumptions!$B$14)/((Assumptions!$B$11*Assumptions!$B$10+Assumptions!$B$12*(Assumptions!$B$6+1.8*Assumptions!$B$7))-Assumptions!$B$14)))-(Assumptions!$B$41-Assumptions!$B$38*0.25)/Assumptions!$B$45</f>
        <v/>
      </c>
    </row>
    <row r="20">
      <c r="A20" s="56" t="n">
        <v>0</v>
      </c>
      <c r="B20" s="48">
        <f>('DCF-FCFF'!$B$18*((Assumptions!$B$13-Assumptions!$B$14)/((Assumptions!$B$11*Assumptions!$B$10+Assumptions!$B$12*(Assumptions!$B$6+1.0*Assumptions!$B$7))-Assumptions!$B$14)))-(Assumptions!$B$41-Assumptions!$B$38*0.0)/Assumptions!$B$45</f>
        <v/>
      </c>
      <c r="C20" s="48">
        <f>('DCF-FCFF'!$B$18*((Assumptions!$B$13-Assumptions!$B$14)/((Assumptions!$B$11*Assumptions!$B$10+Assumptions!$B$12*(Assumptions!$B$6+1.2*Assumptions!$B$7))-Assumptions!$B$14)))-(Assumptions!$B$41-Assumptions!$B$38*0.0)/Assumptions!$B$45</f>
        <v/>
      </c>
      <c r="D20" s="48">
        <f>('DCF-FCFF'!$B$18*((Assumptions!$B$13-Assumptions!$B$14)/((Assumptions!$B$11*Assumptions!$B$10+Assumptions!$B$12*(Assumptions!$B$6+1.4*Assumptions!$B$7))-Assumptions!$B$14)))-(Assumptions!$B$41-Assumptions!$B$38*0.0)/Assumptions!$B$45</f>
        <v/>
      </c>
      <c r="E20" s="48">
        <f>('DCF-FCFF'!$B$18*((Assumptions!$B$13-Assumptions!$B$14)/((Assumptions!$B$11*Assumptions!$B$10+Assumptions!$B$12*(Assumptions!$B$6+1.6*Assumptions!$B$7))-Assumptions!$B$14)))-(Assumptions!$B$41-Assumptions!$B$38*0.0)/Assumptions!$B$45</f>
        <v/>
      </c>
      <c r="F20" s="48">
        <f>('DCF-FCFF'!$B$18*((Assumptions!$B$13-Assumptions!$B$14)/((Assumptions!$B$11*Assumptions!$B$10+Assumptions!$B$12*(Assumptions!$B$6+1.8*Assumptions!$B$7))-Assumptions!$B$14)))-(Assumptions!$B$41-Assumptions!$B$38*0.0)/Assumptions!$B$45</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38" customWidth="1" min="1" max="1"/>
    <col width="15" customWidth="1" min="2" max="2"/>
    <col width="15" customWidth="1" min="3" max="3"/>
    <col width="3" customWidth="1" min="4" max="4"/>
    <col width="56" customWidth="1" min="5" max="5"/>
  </cols>
  <sheetData>
    <row r="1">
      <c r="A1" s="1" t="inlineStr">
        <is>
          <t>OUTPUT — football field</t>
        </is>
      </c>
    </row>
    <row r="3">
      <c r="A3" s="5" t="inlineStr">
        <is>
          <t>Method</t>
        </is>
      </c>
      <c r="B3" s="5" t="inlineStr">
        <is>
          <t>PHP per share</t>
        </is>
      </c>
      <c r="C3" s="5" t="inlineStr">
        <is>
          <t>vs offer</t>
        </is>
      </c>
      <c r="E3" s="5" t="inlineStr">
        <is>
          <t>Note</t>
        </is>
      </c>
    </row>
    <row r="4">
      <c r="A4" s="8" t="inlineStr">
        <is>
          <t>DCF — FCFF (firm)</t>
        </is>
      </c>
      <c r="B4" s="57">
        <f>'DCF-FCFF'!$B$18</f>
        <v/>
      </c>
      <c r="C4" s="58">
        <f>B4/$B$12-1</f>
        <v/>
      </c>
      <c r="E4" s="4" t="inlineStr">
        <is>
          <t>discounted at WACC</t>
        </is>
      </c>
    </row>
    <row r="5">
      <c r="A5" s="8" t="inlineStr">
        <is>
          <t>DCF — FCFE (equity, primary)</t>
        </is>
      </c>
      <c r="B5" s="57">
        <f>'DCF-FCFE'!$B$15</f>
        <v/>
      </c>
      <c r="C5" s="58">
        <f>B5/$B$12-1</f>
        <v/>
      </c>
      <c r="E5" s="4" t="inlineStr">
        <is>
          <t>discounted at the cost of equity</t>
        </is>
      </c>
    </row>
    <row r="6">
      <c r="A6" s="8" t="inlineStr">
        <is>
          <t>Justified P/B — low</t>
        </is>
      </c>
      <c r="B6" s="57">
        <f>'Justified Multiples'!$B$12</f>
        <v/>
      </c>
      <c r="C6" s="58">
        <f>B6/$B$12-1</f>
        <v/>
      </c>
      <c r="E6" s="4" t="inlineStr">
        <is>
          <t>ending-equity ROE</t>
        </is>
      </c>
    </row>
    <row r="7">
      <c r="A7" s="8" t="inlineStr">
        <is>
          <t>Justified P/B — high</t>
        </is>
      </c>
      <c r="B7" s="57">
        <f>'Justified Multiples'!$B$11</f>
        <v/>
      </c>
      <c r="C7" s="58">
        <f>B7/$B$12-1</f>
        <v/>
      </c>
      <c r="E7" s="4" t="inlineStr">
        <is>
          <t>average-equity ROE</t>
        </is>
      </c>
    </row>
    <row r="8">
      <c r="A8" s="8" t="inlineStr">
        <is>
          <t>Comps — P/E, statistic</t>
        </is>
      </c>
      <c r="B8" s="57">
        <f>Comps!$C$13</f>
        <v/>
      </c>
      <c r="C8" s="58">
        <f>B8/$B$12-1</f>
        <v/>
      </c>
      <c r="E8" s="4" t="inlineStr">
        <is>
          <t>median of the peer set — lands ABOVE the offer</t>
        </is>
      </c>
    </row>
    <row r="9">
      <c r="A9" s="8" t="inlineStr">
        <is>
          <t>Comps — P/E, low peer</t>
        </is>
      </c>
      <c r="B9" s="57">
        <f>MIN(Comps!$C$5:$C$7)</f>
        <v/>
      </c>
      <c r="C9" s="58">
        <f>B9/$B$12-1</f>
        <v/>
      </c>
      <c r="E9" s="4" t="inlineStr">
        <is>
          <t>PayPal</t>
        </is>
      </c>
    </row>
    <row r="10">
      <c r="A10" s="8" t="inlineStr">
        <is>
          <t>Comps — P/E, high peer</t>
        </is>
      </c>
      <c r="B10" s="57">
        <f>MAX(Comps!$C$5:$C$7)</f>
        <v/>
      </c>
      <c r="C10" s="58">
        <f>B10/$B$12-1</f>
        <v/>
      </c>
      <c r="E10" s="4" t="inlineStr">
        <is>
          <t>Grab</t>
        </is>
      </c>
    </row>
    <row r="11">
      <c r="A11" s="8" t="inlineStr">
        <is>
          <t>Comps — EV/EBITDA, statistic</t>
        </is>
      </c>
      <c r="B11" s="57">
        <f>Comps!$C$14</f>
        <v/>
      </c>
      <c r="C11" s="58">
        <f>B11/$B$12-1</f>
        <v/>
      </c>
      <c r="E11" s="4" t="inlineStr"/>
    </row>
    <row r="12">
      <c r="A12" s="11" t="inlineStr">
        <is>
          <t>IPO offer price</t>
        </is>
      </c>
      <c r="B12" s="40">
        <f>Assumptions!$B$44</f>
        <v/>
      </c>
    </row>
    <row r="14">
      <c r="A14" s="2" t="inlineStr">
        <is>
          <t>VERDICT</t>
        </is>
      </c>
    </row>
    <row r="15">
      <c r="A15" s="11" t="inlineStr">
        <is>
          <t>Offer as a multiple of FCFE intrinsic value</t>
        </is>
      </c>
      <c r="B15" s="41">
        <f>Assumptions!$B$44/'DCF-FCFE'!$B$15</f>
        <v/>
      </c>
    </row>
    <row r="16">
      <c r="A16" s="11" t="inlineStr">
        <is>
          <t>Methods below the offer price</t>
        </is>
      </c>
      <c r="B16" s="15">
        <f>COUNTIF(B4:B11,"&lt;"&amp;$B$12)&amp;" of "&amp;COUNT(B4:B11)</f>
        <v/>
      </c>
    </row>
    <row r="18" ht="26" customHeight="1">
      <c r="A18" s="3" t="inlineStr">
        <is>
          <t>The P/E comparable at the median of the peer set lands above the offer price. That is the strongest counter-argument to the conclusion and it is shown here rather than compressed into a single undocumented multiple.</t>
        </is>
      </c>
    </row>
    <row r="19" ht="26" customHeight="1">
      <c r="A19" s="3" t="inlineStr">
        <is>
          <t>Every cash-flow method lands well below. The gap between the two is the question of whether Mynt is priced as a Philippine lender or as a global fintech.</t>
        </is>
      </c>
    </row>
  </sheetData>
  <mergeCells count="2">
    <mergeCell ref="A18:E18"/>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build_excel_canonical.py</dc:creator>
  <dcterms:created xmlns:dcterms="http://purl.org/dc/terms/" xmlns:xsi="http://www.w3.org/2001/XMLSchema-instance" xsi:type="dcterms:W3CDTF">2026-07-28T00:00:00Z</dcterms:created>
  <dcterms:modified xmlns:dcterms="http://purl.org/dc/terms/" xmlns:xsi="http://www.w3.org/2001/XMLSchema-instance" xsi:type="dcterms:W3CDTF">2026-07-28T00:00:00Z</dcterms:modified>
  <cp:lastModifiedBy>build_excel_canonical.py</cp:lastModifiedBy>
</cp:coreProperties>
</file>